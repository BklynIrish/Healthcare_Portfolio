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brandon_mcdermott/Documents/Healthcare_Portfolio/Project_4_Closed_Loop_Referral_Implementation/implementation/"/>
    </mc:Choice>
  </mc:AlternateContent>
  <xr:revisionPtr revIDLastSave="0" documentId="13_ncr:1_{EFE198AB-0B07-684A-AF82-44395C78A9A9}" xr6:coauthVersionLast="47" xr6:coauthVersionMax="47" xr10:uidLastSave="{00000000-0000-0000-0000-000000000000}"/>
  <bookViews>
    <workbookView xWindow="4600" yWindow="500" windowWidth="31120" windowHeight="13660" activeTab="1" xr2:uid="{00000000-000D-0000-FFFF-FFFF00000000}"/>
  </bookViews>
  <sheets>
    <sheet name="UAT Summary" sheetId="1" r:id="rId1"/>
    <sheet name="Test Cases" sheetId="2" r:id="rId2"/>
    <sheet name="Defect Log" sheetId="3" r:id="rId3"/>
    <sheet name="Signoff" sheetId="4" r:id="rId4"/>
    <sheet name="Reference Valu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H13" i="1" s="1"/>
  <c r="B10" i="1"/>
  <c r="G5" i="1"/>
  <c r="H11" i="1" s="1"/>
  <c r="E5" i="1"/>
  <c r="D5" i="1"/>
  <c r="H14" i="1" s="1"/>
  <c r="C5" i="1"/>
  <c r="B5" i="1"/>
  <c r="F5" i="1" s="1"/>
  <c r="A5" i="1"/>
  <c r="H12" i="1" l="1"/>
  <c r="B12" i="1"/>
  <c r="H5" i="1"/>
  <c r="H10" i="1"/>
</calcChain>
</file>

<file path=xl/sharedStrings.xml><?xml version="1.0" encoding="utf-8"?>
<sst xmlns="http://schemas.openxmlformats.org/spreadsheetml/2006/main" count="474" uniqueCount="354">
  <si>
    <t>UAT Summary</t>
  </si>
  <si>
    <t>Formula-driven UAT readiness and release gate. Results update as Test Cases and Defect Log are completed.</t>
  </si>
  <si>
    <t>Total Tests</t>
  </si>
  <si>
    <t>Passed</t>
  </si>
  <si>
    <t>Failed</t>
  </si>
  <si>
    <t>Blocked</t>
  </si>
  <si>
    <t>Not Run</t>
  </si>
  <si>
    <t>Pass Rate</t>
  </si>
  <si>
    <t>Critical Pass Rate</t>
  </si>
  <si>
    <t>Release Gate</t>
  </si>
  <si>
    <t>Defect Gate</t>
  </si>
  <si>
    <t>Release Acceptance Criteria</t>
  </si>
  <si>
    <t>Measure</t>
  </si>
  <si>
    <t>Value</t>
  </si>
  <si>
    <t>Criterion</t>
  </si>
  <si>
    <t>Threshold</t>
  </si>
  <si>
    <t>Current</t>
  </si>
  <si>
    <t>Open Critical Defects</t>
  </si>
  <si>
    <t>Overall pass rate</t>
  </si>
  <si>
    <t>Open High Defects</t>
  </si>
  <si>
    <t>Critical pass rate</t>
  </si>
  <si>
    <t>All Open Defects</t>
  </si>
  <si>
    <t>Open critical defects</t>
  </si>
  <si>
    <t>Open high defects</t>
  </si>
  <si>
    <t>Incomplete tests</t>
  </si>
  <si>
    <t>Execution guidance: record Actual Result, Evidence Link, tester, date, and any Defect ID for every executed test. Do not mark a test Pass without objective evidence.</t>
  </si>
  <si>
    <t>Test Cases</t>
  </si>
  <si>
    <t>Executable acceptance tests mapped to requirements and configuration controls. Yellow fields are completed during UAT execution.</t>
  </si>
  <si>
    <t>Test ID</t>
  </si>
  <si>
    <t>Domain</t>
  </si>
  <si>
    <t>Priority</t>
  </si>
  <si>
    <t>Test Scenario</t>
  </si>
  <si>
    <t>Preconditions</t>
  </si>
  <si>
    <t>Test Steps</t>
  </si>
  <si>
    <t>Expected Result</t>
  </si>
  <si>
    <t>Requirement ID</t>
  </si>
  <si>
    <t>Configuration Reference</t>
  </si>
  <si>
    <t>Execution Status</t>
  </si>
  <si>
    <t>Actual Result</t>
  </si>
  <si>
    <t>Defect ID</t>
  </si>
  <si>
    <t>Tester</t>
  </si>
  <si>
    <t>Execution Date</t>
  </si>
  <si>
    <t>Evidence Link</t>
  </si>
  <si>
    <t>Comments</t>
  </si>
  <si>
    <t>UAT-001</t>
  </si>
  <si>
    <t>Workflow</t>
  </si>
  <si>
    <t>Critical</t>
  </si>
  <si>
    <t>Create a valid routine referral</t>
  </si>
  <si>
    <t>Valid patient, provider, specialty, payer, and required intake fields</t>
  </si>
  <si>
    <t>1. Create referral; 2. Save; 3. Open lifecycle</t>
  </si>
  <si>
    <t>Referral ID is generated; status = Received; audit event created</t>
  </si>
  <si>
    <t>REQ-F01</t>
  </si>
  <si>
    <t>STS-01</t>
  </si>
  <si>
    <t>UAT-002</t>
  </si>
  <si>
    <t>Route complete referral to outreach</t>
  </si>
  <si>
    <t>Referral in Received with all required fields</t>
  </si>
  <si>
    <t>1. Run intake validation; 2. Confirm result</t>
  </si>
  <si>
    <t>Status changes to Ready for Outreach; queue = Ready for Outreach</t>
  </si>
  <si>
    <t>REQ-F02</t>
  </si>
  <si>
    <t>STS-03 / QUE-03</t>
  </si>
  <si>
    <t>UAT-003</t>
  </si>
  <si>
    <t>Route incomplete referral to Needs Information</t>
  </si>
  <si>
    <t>Referral missing required insurance or clinical field</t>
  </si>
  <si>
    <t>1. Run validation; 2. Review issue</t>
  </si>
  <si>
    <t>Status = Needs Information; blocking issue is recorded</t>
  </si>
  <si>
    <t>REQ-F03</t>
  </si>
  <si>
    <t>STS-02 / QUE-02</t>
  </si>
  <si>
    <t>UAT-004</t>
  </si>
  <si>
    <t>High</t>
  </si>
  <si>
    <t>Resolve missing information</t>
  </si>
  <si>
    <t>Referral in Needs Information with open issue</t>
  </si>
  <si>
    <t>1. Correct field; 2. Resolve issue; 3. Revalidate</t>
  </si>
  <si>
    <t>Issue closes; referral advances to Ready for Outreach</t>
  </si>
  <si>
    <t>REQ-F04</t>
  </si>
  <si>
    <t>TRN-04</t>
  </si>
  <si>
    <t>UAT-005</t>
  </si>
  <si>
    <t>Outreach</t>
  </si>
  <si>
    <t>Record first outreach attempt</t>
  </si>
  <si>
    <t>Referral in Ready for Outreach</t>
  </si>
  <si>
    <t>1. Add channel, party, outcome, timestamp; 2. Save</t>
  </si>
  <si>
    <t>Attempt is saved; status = Outreach in Progress; next action calculated</t>
  </si>
  <si>
    <t>REQ-F05</t>
  </si>
  <si>
    <t>OUT-01–OUT-09</t>
  </si>
  <si>
    <t>UAT-006</t>
  </si>
  <si>
    <t>Require next action for No Answer</t>
  </si>
  <si>
    <t>Outcome = No Answer</t>
  </si>
  <si>
    <t>1. Record No Answer; 2. Attempt save without next action</t>
  </si>
  <si>
    <t>System requires next action; default target = 48 hours</t>
  </si>
  <si>
    <t>REQ-F06</t>
  </si>
  <si>
    <t>OUT-02</t>
  </si>
  <si>
    <t>UAT-007</t>
  </si>
  <si>
    <t>Escalate invalid contact information</t>
  </si>
  <si>
    <t>Outcome = Invalid Contact</t>
  </si>
  <si>
    <t>1. Record outcome; 2. Save</t>
  </si>
  <si>
    <t>Data exception/escalation created; next action due within 24 hours</t>
  </si>
  <si>
    <t>REQ-F07</t>
  </si>
  <si>
    <t>OUT-04</t>
  </si>
  <si>
    <t>UAT-008</t>
  </si>
  <si>
    <t>Scheduling</t>
  </si>
  <si>
    <t>Create appointment</t>
  </si>
  <si>
    <t>Referral in outreach; valid specialist and location</t>
  </si>
  <si>
    <t>1. Enter appointment details; 2. Confirm</t>
  </si>
  <si>
    <t>Appointment saved; referral status = Scheduled</t>
  </si>
  <si>
    <t>REQ-F08</t>
  </si>
  <si>
    <t>STS-05</t>
  </si>
  <si>
    <t>UAT-009</t>
  </si>
  <si>
    <t>Reject appointment before scheduled timestamp</t>
  </si>
  <si>
    <t>Appointment start precedes scheduled_at</t>
  </si>
  <si>
    <t>1. Enter invalid timestamps; 2. Save</t>
  </si>
  <si>
    <t>Save is blocked with clear validation message</t>
  </si>
  <si>
    <t>REQ-N01</t>
  </si>
  <si>
    <t>DQ-013</t>
  </si>
  <si>
    <t>UAT-010</t>
  </si>
  <si>
    <t>Route cancelled appointment to follow-up</t>
  </si>
  <si>
    <t>Scheduled referral with cancelled appointment</t>
  </si>
  <si>
    <t>1. Record cancellation; 2. select follow-up required</t>
  </si>
  <si>
    <t>Referral returns to Outreach in Progress with reason</t>
  </si>
  <si>
    <t>REQ-F09</t>
  </si>
  <si>
    <t>TRN-14</t>
  </si>
  <si>
    <t>UAT-011</t>
  </si>
  <si>
    <t>Record completed appointment</t>
  </si>
  <si>
    <t>Scheduled referral with elapsed appointment</t>
  </si>
  <si>
    <t>1. Mark Completed; 2. record outcome time</t>
  </si>
  <si>
    <t>Referral status = Completed—Report Pending</t>
  </si>
  <si>
    <t>REQ-F10</t>
  </si>
  <si>
    <t>TRN-15</t>
  </si>
  <si>
    <t>UAT-012</t>
  </si>
  <si>
    <t>Report</t>
  </si>
  <si>
    <t>Match consult report to referral</t>
  </si>
  <si>
    <t>Unmatched report with valid identifiers</t>
  </si>
  <si>
    <t>1. Run match; 2. confirm referral link</t>
  </si>
  <si>
    <t>Report is Matched and linked to referral</t>
  </si>
  <si>
    <t>REQ-F11</t>
  </si>
  <si>
    <t>DQ-016</t>
  </si>
  <si>
    <t>UAT-013</t>
  </si>
  <si>
    <t>Route and review consult report</t>
  </si>
  <si>
    <t>Matched report; reviewer authorized</t>
  </si>
  <si>
    <t>1. Route; 2. review; 3. record timestamps</t>
  </si>
  <si>
    <t>Report = Reviewed; reviewer recorded; referral = Closed—Completed</t>
  </si>
  <si>
    <t>REQ-F12</t>
  </si>
  <si>
    <t>TRN-18</t>
  </si>
  <si>
    <t>UAT-014</t>
  </si>
  <si>
    <t>Reject review without reviewer</t>
  </si>
  <si>
    <t>Report marked Reviewed without reviewer ID</t>
  </si>
  <si>
    <t>1. attempt save</t>
  </si>
  <si>
    <t>Save is blocked; reviewer and review timestamp required</t>
  </si>
  <si>
    <t>REQ-N02</t>
  </si>
  <si>
    <t>DQ-017</t>
  </si>
  <si>
    <t>UAT-015</t>
  </si>
  <si>
    <t>Closure</t>
  </si>
  <si>
    <t>Close referral as patient declined</t>
  </si>
  <si>
    <t>Documented decline; manager user</t>
  </si>
  <si>
    <t>1. choose Patient Declined; 2. approve closure</t>
  </si>
  <si>
    <t>Referral = Closed—Not Completed; reason and approver audited</t>
  </si>
  <si>
    <t>REQ-F13</t>
  </si>
  <si>
    <t>CLR-02</t>
  </si>
  <si>
    <t>UAT-016</t>
  </si>
  <si>
    <t>Prevent unauthorized noncompletion closure</t>
  </si>
  <si>
    <t>Coordinator without manager rights</t>
  </si>
  <si>
    <t>1. attempt Closed—Not Completed</t>
  </si>
  <si>
    <t>Transition is denied; no status change occurs</t>
  </si>
  <si>
    <t>REQ-S01</t>
  </si>
  <si>
    <t>Roles Permissions</t>
  </si>
  <si>
    <t>UAT-017</t>
  </si>
  <si>
    <t>Cancel duplicate referral</t>
  </si>
  <si>
    <t>Known duplicate referral ID</t>
  </si>
  <si>
    <t>1. choose Duplicate Referral; 2. enter duplicate ID</t>
  </si>
  <si>
    <t>Referral = Cancelled; duplicate ID retained</t>
  </si>
  <si>
    <t>REQ-F14</t>
  </si>
  <si>
    <t>CLR-07</t>
  </si>
  <si>
    <t>UAT-018</t>
  </si>
  <si>
    <t>SLA</t>
  </si>
  <si>
    <t>Apply urgent intake SLA</t>
  </si>
  <si>
    <t>New urgent referral</t>
  </si>
  <si>
    <t>1. create referral; 2. inspect due time</t>
  </si>
  <si>
    <t>Service-level due time = received_at + 8 calendar hours</t>
  </si>
  <si>
    <t>REQ-F15</t>
  </si>
  <si>
    <t>SLA-02</t>
  </si>
  <si>
    <t>UAT-019</t>
  </si>
  <si>
    <t>Apply routine outreach SLA</t>
  </si>
  <si>
    <t>Routine referral becomes Ready for Outreach</t>
  </si>
  <si>
    <t>1. inspect due time</t>
  </si>
  <si>
    <t>Initial outreach due = status entry + 72 calendar hours</t>
  </si>
  <si>
    <t>REQ-F16</t>
  </si>
  <si>
    <t>SLA-03</t>
  </si>
  <si>
    <t>UAT-020</t>
  </si>
  <si>
    <t>Escalate overdue urgent referral</t>
  </si>
  <si>
    <t>Urgent open referral past due</t>
  </si>
  <si>
    <t>1. refresh work queue</t>
  </si>
  <si>
    <t>Referral appears in Urgent Escalations and sorts by most overdue</t>
  </si>
  <si>
    <t>REQ-F17</t>
  </si>
  <si>
    <t>QUE-07</t>
  </si>
  <si>
    <t>UAT-021</t>
  </si>
  <si>
    <t>Queue</t>
  </si>
  <si>
    <t>Display all unassigned open referrals</t>
  </si>
  <si>
    <t>Open referral without active assignment</t>
  </si>
  <si>
    <t>1. refresh Unassigned Referrals</t>
  </si>
  <si>
    <t>Referral appears once and displays recommended action</t>
  </si>
  <si>
    <t>REQ-F18</t>
  </si>
  <si>
    <t>QUE-08 / DQ-011</t>
  </si>
  <si>
    <t>UAT-022</t>
  </si>
  <si>
    <t>Display elapsed appointment verification work</t>
  </si>
  <si>
    <t>Scheduled referral with appointment in past</t>
  </si>
  <si>
    <t>1. refresh queue</t>
  </si>
  <si>
    <t>Referral appears in Appointment Verification</t>
  </si>
  <si>
    <t>REQ-F19</t>
  </si>
  <si>
    <t>QUE-05</t>
  </si>
  <si>
    <t>UAT-023</t>
  </si>
  <si>
    <t>Permissions</t>
  </si>
  <si>
    <t>Coordinator cannot configure workflow rules</t>
  </si>
  <si>
    <t>Referral Coordinator user</t>
  </si>
  <si>
    <t>1. open configuration; 2. attempt edit</t>
  </si>
  <si>
    <t>Configuration is read-only or inaccessible</t>
  </si>
  <si>
    <t>REQ-S02</t>
  </si>
  <si>
    <t>UAT-024</t>
  </si>
  <si>
    <t>System Administrator can configure rules but not clinical review</t>
  </si>
  <si>
    <t>System Administrator user</t>
  </si>
  <si>
    <t>1. edit config; 2. attempt report review</t>
  </si>
  <si>
    <t>Config edit succeeds; clinical report review is denied</t>
  </si>
  <si>
    <t>REQ-S03</t>
  </si>
  <si>
    <t>UAT-025</t>
  </si>
  <si>
    <t>Audit</t>
  </si>
  <si>
    <t>Preserve lifecycle history</t>
  </si>
  <si>
    <t>Referral advances through at least three statuses</t>
  </si>
  <si>
    <t>1. open audit history</t>
  </si>
  <si>
    <t>All transitions show old/new state, timestamp, actor, and reason</t>
  </si>
  <si>
    <t>REQ-A01</t>
  </si>
  <si>
    <t>DQ-009 / DQ-010</t>
  </si>
  <si>
    <t>UAT-026</t>
  </si>
  <si>
    <t>Data Quality</t>
  </si>
  <si>
    <t>Execute 20-rule data-quality suite</t>
  </si>
  <si>
    <t>Database loaded with validated synthetic data</t>
  </si>
  <si>
    <t>1. run data_quality_checks.sql</t>
  </si>
  <si>
    <t>20 tested; 20 passed; 0 failed; total failures = 0</t>
  </si>
  <si>
    <t>REQ-DQ01</t>
  </si>
  <si>
    <t>DQ-001–DQ-020</t>
  </si>
  <si>
    <t>UAT-027</t>
  </si>
  <si>
    <t>Analytics</t>
  </si>
  <si>
    <t>Reconcile referral total</t>
  </si>
  <si>
    <t>Operational views created</t>
  </si>
  <si>
    <t>1. query lifecycle view; 2. compare base table</t>
  </si>
  <si>
    <t>Lifecycle view returns 2,500 referrals</t>
  </si>
  <si>
    <t>REQ-R01</t>
  </si>
  <si>
    <t>v_referral_lifecycle</t>
  </si>
  <si>
    <t>UAT-028</t>
  </si>
  <si>
    <t>Reconcile open work queue</t>
  </si>
  <si>
    <t>1. count work queue rows</t>
  </si>
  <si>
    <t>Work queue returns 965 open referrals</t>
  </si>
  <si>
    <t>REQ-R02</t>
  </si>
  <si>
    <t>v_operational_work_queue</t>
  </si>
  <si>
    <t>UAT-029</t>
  </si>
  <si>
    <t>Reconcile executive KPI rates</t>
  </si>
  <si>
    <t>Analytics queries executed</t>
  </si>
  <si>
    <t>1. run executive KPI query</t>
  </si>
  <si>
    <t>Completeness 94.36%; scheduling 77.48%; completion 79.12%; closed-loop 45.92%</t>
  </si>
  <si>
    <t>REQ-R03</t>
  </si>
  <si>
    <t>analytics_queries.sql</t>
  </si>
  <si>
    <t>UAT-030</t>
  </si>
  <si>
    <t>Integration</t>
  </si>
  <si>
    <t>Reject duplicate external consult document</t>
  </si>
  <si>
    <t>Existing external_document_id</t>
  </si>
  <si>
    <t>1. load same document ID again</t>
  </si>
  <si>
    <t>Duplicate is rejected or safely marked Duplicate without a second active record</t>
  </si>
  <si>
    <t>REQ-I01</t>
  </si>
  <si>
    <t>uq_consult_reports_external_id</t>
  </si>
  <si>
    <t>Defect Log</t>
  </si>
  <si>
    <t>Log UAT defects, resolution ownership, retest results, and release-blocking decisions.</t>
  </si>
  <si>
    <t>Title</t>
  </si>
  <si>
    <t>Description</t>
  </si>
  <si>
    <t>Severity</t>
  </si>
  <si>
    <t>Status</t>
  </si>
  <si>
    <t>Owner</t>
  </si>
  <si>
    <t>Date Found</t>
  </si>
  <si>
    <t>Target Fix Date</t>
  </si>
  <si>
    <t>Resolution</t>
  </si>
  <si>
    <t>Retest Status</t>
  </si>
  <si>
    <t>Retest Date</t>
  </si>
  <si>
    <t>DEF-001</t>
  </si>
  <si>
    <t>DEF-002</t>
  </si>
  <si>
    <t>DEF-003</t>
  </si>
  <si>
    <t>DEF-004</t>
  </si>
  <si>
    <t>DEF-005</t>
  </si>
  <si>
    <t>DEF-006</t>
  </si>
  <si>
    <t>DEF-007</t>
  </si>
  <si>
    <t>DEF-008</t>
  </si>
  <si>
    <t>DEF-009</t>
  </si>
  <si>
    <t>DEF-010</t>
  </si>
  <si>
    <t>DEF-011</t>
  </si>
  <si>
    <t>DEF-012</t>
  </si>
  <si>
    <t>DEF-013</t>
  </si>
  <si>
    <t>DEF-014</t>
  </si>
  <si>
    <t>DEF-015</t>
  </si>
  <si>
    <t>Signoff</t>
  </si>
  <si>
    <t>Formal release recommendation and stakeholder approval record. Complete only after test execution and defect review.</t>
  </si>
  <si>
    <t>Role</t>
  </si>
  <si>
    <t>Name</t>
  </si>
  <si>
    <t>Decision</t>
  </si>
  <si>
    <t>Signature / Approval Evidence</t>
  </si>
  <si>
    <t>Decision Date</t>
  </si>
  <si>
    <t>Conditions</t>
  </si>
  <si>
    <t>Open Risk Accepted?</t>
  </si>
  <si>
    <t>Referral Operations Lead</t>
  </si>
  <si>
    <t>Pending</t>
  </si>
  <si>
    <t>No</t>
  </si>
  <si>
    <t>Clinical Representative</t>
  </si>
  <si>
    <t>Health IT / Technical Lead</t>
  </si>
  <si>
    <t>Implementation Lead</t>
  </si>
  <si>
    <t>Executive Sponsor</t>
  </si>
  <si>
    <t>Reference Values</t>
  </si>
  <si>
    <t>Controlled execution values and release acceptance thresholds used by the workbook.</t>
  </si>
  <si>
    <t>Category</t>
  </si>
  <si>
    <t>Definition</t>
  </si>
  <si>
    <t>Release Effect</t>
  </si>
  <si>
    <t>Test has not been executed</t>
  </si>
  <si>
    <t>Incomplete</t>
  </si>
  <si>
    <t>Pass</t>
  </si>
  <si>
    <t>Observed result matches expected result</t>
  </si>
  <si>
    <t>Acceptable</t>
  </si>
  <si>
    <t>Fail</t>
  </si>
  <si>
    <t>Observed result does not match expected result</t>
  </si>
  <si>
    <t>Requires defect</t>
  </si>
  <si>
    <t>Execution prevented by dependency or environment</t>
  </si>
  <si>
    <t>N/A</t>
  </si>
  <si>
    <t>Approved as outside release scope</t>
  </si>
  <si>
    <t>Excluded</t>
  </si>
  <si>
    <t>Core workflow, security, data integrity, or release-blocking function</t>
  </si>
  <si>
    <t>Must pass</t>
  </si>
  <si>
    <t>Material operational function</t>
  </si>
  <si>
    <t>Must pass or have approved workaround</t>
  </si>
  <si>
    <t>Medium</t>
  </si>
  <si>
    <t>Useful function with limited operational impact</t>
  </si>
  <si>
    <t>Risk acceptance possible</t>
  </si>
  <si>
    <t>Low</t>
  </si>
  <si>
    <t>Minor or cosmetic behavior</t>
  </si>
  <si>
    <t>May defer</t>
  </si>
  <si>
    <t>Acceptance</t>
  </si>
  <si>
    <t>&gt;= 95% of executed in-scope tests</t>
  </si>
  <si>
    <t>Required</t>
  </si>
  <si>
    <t>100%</t>
  </si>
  <si>
    <t>0</t>
  </si>
  <si>
    <t>0 unless formally accepted</t>
  </si>
  <si>
    <t>Brandon McDermott</t>
  </si>
  <si>
    <t>images/uat_026_data_quality_results.png</t>
  </si>
  <si>
    <t>images/uat_027_lifecycle_count.png</t>
  </si>
  <si>
    <t>images/uat_028_work_queue_count.png</t>
  </si>
  <si>
    <t>images/uat_029_executive_kpis.png</t>
  </si>
  <si>
    <t>20 rules tested; 20 passed; 0 failed; 0 total failures.</t>
  </si>
  <si>
    <r>
      <t>v_referral_lifecycle</t>
    </r>
    <r>
      <rPr>
        <sz val="12"/>
        <color rgb="FF000000"/>
        <rFont val="-webkit-standard"/>
      </rPr>
      <t> returned 2,500 rows.</t>
    </r>
  </si>
  <si>
    <r>
      <t>v_operational_work_queue</t>
    </r>
    <r>
      <rPr>
        <sz val="12"/>
        <color rgb="FF000000"/>
        <rFont val="-webkit-standard"/>
      </rPr>
      <t> returned 965 rows.</t>
    </r>
  </si>
  <si>
    <t>KPI query returned 2,500 total, 314 urgent, 965 open, and 965 overdue open referrals; calculated rates and averages matched expected results.</t>
  </si>
  <si>
    <t>Results match the acceptance criteria.</t>
  </si>
  <si>
    <t>Result reconciles to the 2,500 base referrals.</t>
  </si>
  <si>
    <t>Result matches the expected open-referral population.</t>
  </si>
  <si>
    <t>Executive KPI results match the validated baseline.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</si>
</sst>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72" formatCode="yyyy\-mm\-dd;@"/>
  </numFmts>
  <fonts count="16">
    <font>
      <sz val="11"/>
      <name val="Carlito"/>
    </font>
    <font>
      <b/>
      <sz val="18"/>
      <color rgb="FFFFFFFF"/>
      <name val="Carlito"/>
    </font>
    <font>
      <i/>
      <sz val="11"/>
      <color rgb="FF243442"/>
      <name val="Carlito"/>
    </font>
    <font>
      <b/>
      <sz val="11"/>
      <color rgb="FFFFFFFF"/>
      <name val="Carlito"/>
    </font>
    <font>
      <sz val="10"/>
      <color rgb="FF243442"/>
      <name val="Carlito"/>
    </font>
    <font>
      <b/>
      <sz val="16"/>
      <color rgb="FF16324F"/>
      <name val="Carlito"/>
    </font>
    <font>
      <i/>
      <sz val="11"/>
      <color rgb="FF6B5100"/>
      <name val="Carlito"/>
    </font>
    <font>
      <sz val="14"/>
      <color rgb="FF000000"/>
      <name val="-webkit-standard"/>
    </font>
    <font>
      <sz val="12"/>
      <color rgb="FF243442"/>
      <name val="Carlito"/>
    </font>
    <font>
      <b/>
      <sz val="14"/>
      <color rgb="FFFFFFFF"/>
      <name val="Carlito"/>
    </font>
    <font>
      <i/>
      <sz val="14"/>
      <color rgb="FF243442"/>
      <name val="Carlito"/>
    </font>
    <font>
      <sz val="14"/>
      <color rgb="FF243442"/>
      <name val="Carlito"/>
    </font>
    <font>
      <sz val="14"/>
      <name val="Carlito"/>
    </font>
    <font>
      <sz val="12"/>
      <color rgb="FF000000"/>
      <name val="Arial Unicode MS"/>
      <family val="2"/>
    </font>
    <font>
      <sz val="12"/>
      <color rgb="FF000000"/>
      <name val="-webkit-standard"/>
    </font>
    <font>
      <b/>
      <sz val="12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DCEAF7"/>
      </patternFill>
    </fill>
    <fill>
      <patternFill patternType="solid">
        <fgColor rgb="FF167D7F"/>
      </patternFill>
    </fill>
    <fill>
      <patternFill patternType="solid">
        <fgColor rgb="FFFFF4CC"/>
      </patternFill>
    </fill>
    <fill>
      <patternFill patternType="solid">
        <fgColor rgb="FFDDF2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4" fillId="0" borderId="0" xfId="0" applyFont="1" applyAlignment="1">
      <alignment vertical="top" wrapText="1"/>
    </xf>
    <xf numFmtId="0" fontId="4" fillId="5" borderId="0" xfId="0" applyFont="1" applyFill="1" applyAlignment="1">
      <alignment vertical="top" wrapText="1"/>
    </xf>
    <xf numFmtId="164" fontId="4" fillId="5" borderId="0" xfId="0" applyNumberFormat="1" applyFont="1" applyFill="1" applyAlignment="1">
      <alignment vertical="top" wrapText="1"/>
    </xf>
    <xf numFmtId="0" fontId="0" fillId="5" borderId="0" xfId="0" applyFill="1"/>
    <xf numFmtId="164" fontId="0" fillId="5" borderId="0" xfId="0" applyNumberFormat="1" applyFill="1"/>
    <xf numFmtId="0" fontId="5" fillId="6" borderId="0" xfId="0" applyFont="1" applyFill="1" applyAlignment="1">
      <alignment horizontal="center"/>
    </xf>
    <xf numFmtId="165" fontId="5" fillId="6" borderId="0" xfId="0" applyNumberFormat="1" applyFont="1" applyFill="1" applyAlignment="1">
      <alignment horizontal="center"/>
    </xf>
    <xf numFmtId="0" fontId="3" fillId="2" borderId="0" xfId="0" applyFont="1" applyFill="1"/>
    <xf numFmtId="9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3" fillId="4" borderId="0" xfId="0" applyFont="1" applyFill="1"/>
    <xf numFmtId="0" fontId="6" fillId="5" borderId="0" xfId="0" applyFont="1" applyFill="1" applyAlignment="1">
      <alignment wrapText="1"/>
    </xf>
    <xf numFmtId="0" fontId="1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3" fillId="4" borderId="0" xfId="0" applyFont="1" applyFill="1" applyAlignment="1">
      <alignment horizontal="left" wrapText="1"/>
    </xf>
    <xf numFmtId="0" fontId="4" fillId="5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9" fillId="2" borderId="0" xfId="0" applyFont="1" applyFill="1"/>
    <xf numFmtId="0" fontId="10" fillId="3" borderId="0" xfId="0" applyFont="1" applyFill="1" applyAlignment="1">
      <alignment wrapText="1"/>
    </xf>
    <xf numFmtId="0" fontId="12" fillId="0" borderId="0" xfId="0" applyFont="1"/>
    <xf numFmtId="172" fontId="9" fillId="4" borderId="0" xfId="0" applyNumberFormat="1" applyFont="1" applyFill="1" applyAlignment="1">
      <alignment wrapText="1"/>
    </xf>
    <xf numFmtId="172" fontId="11" fillId="5" borderId="0" xfId="0" applyNumberFormat="1" applyFont="1" applyFill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</font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</font>
      <alignment horizontal="left" vertical="center" textRotation="0" wrapText="1" justifyLastLine="0" shrinkToFit="0" readingOrder="0"/>
    </dxf>
    <dxf>
      <font>
        <strike val="0"/>
        <outline val="0"/>
        <shadow val="0"/>
        <u val="none"/>
        <vertAlign val="baseline"/>
        <sz val="14"/>
        <name val="Carlito"/>
        <scheme val="none"/>
      </font>
      <numFmt numFmtId="172" formatCode="yyyy\-mm\-dd;@"/>
      <alignment horizontal="left" vertical="center" textRotation="0" wrapText="1" indent="0" justifyLastLine="0" shrinkToFit="0" readingOrder="0"/>
    </dxf>
    <dxf>
      <alignment horizontal="left" textRotation="0" wrapText="1" indent="0" justifyLastLine="0" shrinkToFit="0" readingOrder="0"/>
    </dxf>
    <dxf>
      <font>
        <b/>
        <color rgb="FF8A4B08"/>
      </font>
      <fill>
        <patternFill patternType="solid">
          <bgColor rgb="FFFCE8CC"/>
        </patternFill>
      </fill>
    </dxf>
    <dxf>
      <font>
        <b/>
        <color rgb="FF9B2C2C"/>
      </font>
      <fill>
        <patternFill patternType="solid">
          <bgColor rgb="FFFBE2E2"/>
        </patternFill>
      </fill>
    </dxf>
    <dxf>
      <font>
        <b/>
        <color rgb="FF176B38"/>
      </font>
      <fill>
        <patternFill patternType="solid">
          <bgColor rgb="FFDDF2E3"/>
        </patternFill>
      </fill>
    </dxf>
    <dxf>
      <font>
        <b/>
        <color rgb="FF9B2C2C"/>
      </font>
      <fill>
        <patternFill patternType="solid">
          <bgColor rgb="FFFBE2E2"/>
        </patternFill>
      </fill>
    </dxf>
    <dxf>
      <font>
        <b/>
        <color rgb="FF176B38"/>
      </font>
      <fill>
        <patternFill patternType="solid">
          <bgColor rgb="FFDDF2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ATCasesTable" displayName="UATCasesTable" ref="A4:P34" totalsRowShown="0">
  <tableColumns count="16">
    <tableColumn id="1" xr3:uid="{00000000-0010-0000-0000-000001000000}" name="Test ID"/>
    <tableColumn id="2" xr3:uid="{00000000-0010-0000-0000-000002000000}" name="Domain"/>
    <tableColumn id="3" xr3:uid="{00000000-0010-0000-0000-000003000000}" name="Priority"/>
    <tableColumn id="4" xr3:uid="{00000000-0010-0000-0000-000004000000}" name="Test Scenario"/>
    <tableColumn id="5" xr3:uid="{00000000-0010-0000-0000-000005000000}" name="Preconditions"/>
    <tableColumn id="6" xr3:uid="{00000000-0010-0000-0000-000006000000}" name="Test Steps"/>
    <tableColumn id="7" xr3:uid="{00000000-0010-0000-0000-000007000000}" name="Expected Result"/>
    <tableColumn id="8" xr3:uid="{00000000-0010-0000-0000-000008000000}" name="Requirement ID"/>
    <tableColumn id="9" xr3:uid="{00000000-0010-0000-0000-000009000000}" name="Configuration Reference"/>
    <tableColumn id="10" xr3:uid="{00000000-0010-0000-0000-00000A000000}" name="Execution Status"/>
    <tableColumn id="11" xr3:uid="{00000000-0010-0000-0000-00000B000000}" name="Actual Result" dataDxfId="0"/>
    <tableColumn id="12" xr3:uid="{00000000-0010-0000-0000-00000C000000}" name="Defect ID"/>
    <tableColumn id="13" xr3:uid="{00000000-0010-0000-0000-00000D000000}" name="Tester" dataDxfId="3"/>
    <tableColumn id="14" xr3:uid="{00000000-0010-0000-0000-00000E000000}" name="Execution Date" dataDxfId="2"/>
    <tableColumn id="15" xr3:uid="{00000000-0010-0000-0000-00000F000000}" name="Evidence Link" dataDxfId="1"/>
    <tableColumn id="16" xr3:uid="{00000000-0010-0000-0000-000010000000}" name="Comm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fectTable" displayName="DefectTable" ref="A4:M19" totalsRowShown="0">
  <tableColumns count="13">
    <tableColumn id="1" xr3:uid="{00000000-0010-0000-0100-000001000000}" name="Defect ID"/>
    <tableColumn id="2" xr3:uid="{00000000-0010-0000-0100-000002000000}" name="Test ID"/>
    <tableColumn id="3" xr3:uid="{00000000-0010-0000-0100-000003000000}" name="Title"/>
    <tableColumn id="4" xr3:uid="{00000000-0010-0000-0100-000004000000}" name="Description"/>
    <tableColumn id="5" xr3:uid="{00000000-0010-0000-0100-000005000000}" name="Severity"/>
    <tableColumn id="6" xr3:uid="{00000000-0010-0000-0100-000006000000}" name="Status"/>
    <tableColumn id="7" xr3:uid="{00000000-0010-0000-0100-000007000000}" name="Owner"/>
    <tableColumn id="8" xr3:uid="{00000000-0010-0000-0100-000008000000}" name="Date Found"/>
    <tableColumn id="9" xr3:uid="{00000000-0010-0000-0100-000009000000}" name="Target Fix Date"/>
    <tableColumn id="10" xr3:uid="{00000000-0010-0000-0100-00000A000000}" name="Resolution"/>
    <tableColumn id="11" xr3:uid="{00000000-0010-0000-0100-00000B000000}" name="Retest Status"/>
    <tableColumn id="12" xr3:uid="{00000000-0010-0000-0100-00000C000000}" name="Retest Date"/>
    <tableColumn id="13" xr3:uid="{00000000-0010-0000-0100-00000D000000}" name="Evidence Lin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ignoffTable" displayName="SignoffTable" ref="A4:H9" totalsRowShown="0">
  <tableColumns count="8">
    <tableColumn id="1" xr3:uid="{00000000-0010-0000-0200-000001000000}" name="Role"/>
    <tableColumn id="2" xr3:uid="{00000000-0010-0000-0200-000002000000}" name="Name"/>
    <tableColumn id="3" xr3:uid="{00000000-0010-0000-0200-000003000000}" name="Decision"/>
    <tableColumn id="4" xr3:uid="{00000000-0010-0000-0200-000004000000}" name="Signature / Approval Evidence"/>
    <tableColumn id="5" xr3:uid="{00000000-0010-0000-0200-000005000000}" name="Decision Date"/>
    <tableColumn id="6" xr3:uid="{00000000-0010-0000-0200-000006000000}" name="Conditions"/>
    <tableColumn id="7" xr3:uid="{00000000-0010-0000-0200-000007000000}" name="Open Risk Accepted?"/>
    <tableColumn id="8" xr3:uid="{00000000-0010-0000-0200-000008000000}" name="Com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ReferenceTable" displayName="ReferenceTable" ref="A4:D17" totalsRowShown="0">
  <tableColumns count="4">
    <tableColumn id="1" xr3:uid="{00000000-0010-0000-0300-000001000000}" name="Category"/>
    <tableColumn id="2" xr3:uid="{00000000-0010-0000-0300-000002000000}" name="Value"/>
    <tableColumn id="3" xr3:uid="{00000000-0010-0000-0300-000003000000}" name="Definition"/>
    <tableColumn id="4" xr3:uid="{00000000-0010-0000-0300-000004000000}" name="Release Effe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workbookViewId="0">
      <selection sqref="A1:H1"/>
    </sheetView>
  </sheetViews>
  <sheetFormatPr baseColWidth="10" defaultColWidth="8.83203125" defaultRowHeight="15"/>
  <cols>
    <col min="1" max="7" width="20" customWidth="1"/>
    <col min="8" max="8" width="24" customWidth="1"/>
  </cols>
  <sheetData>
    <row r="1" spans="1:8" ht="32" customHeight="1">
      <c r="A1" s="14" t="s">
        <v>0</v>
      </c>
      <c r="B1" s="14"/>
      <c r="C1" s="14"/>
      <c r="D1" s="14"/>
      <c r="E1" s="14"/>
      <c r="F1" s="14"/>
      <c r="G1" s="14"/>
      <c r="H1" s="14"/>
    </row>
    <row r="2" spans="1:8" ht="30" customHeight="1">
      <c r="A2" s="15" t="s">
        <v>1</v>
      </c>
      <c r="B2" s="15"/>
      <c r="C2" s="15"/>
      <c r="D2" s="15"/>
      <c r="E2" s="15"/>
      <c r="F2" s="15"/>
      <c r="G2" s="15"/>
      <c r="H2" s="15"/>
    </row>
    <row r="4" spans="1:8" ht="3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34" customHeight="1">
      <c r="A5" s="9">
        <f>COUNTA('Test Cases'!$A$5:$A$34)</f>
        <v>30</v>
      </c>
      <c r="B5" s="9">
        <f>COUNTIF('Test Cases'!$J$5:$J$34,"Pass")</f>
        <v>4</v>
      </c>
      <c r="C5" s="9">
        <f>COUNTIF('Test Cases'!$J$5:$J$34,"Fail")</f>
        <v>0</v>
      </c>
      <c r="D5" s="9">
        <f>COUNTIF('Test Cases'!$J$5:$J$34,"Blocked")</f>
        <v>0</v>
      </c>
      <c r="E5" s="9">
        <f>COUNTIF('Test Cases'!$J$5:$J$34,"Not Run")</f>
        <v>26</v>
      </c>
      <c r="F5" s="10">
        <f>IFERROR(B5/(A5-E5),0)</f>
        <v>1</v>
      </c>
      <c r="G5" s="10">
        <f>IFERROR(COUNTIFS('Test Cases'!$C$5:$C$34,"Critical",'Test Cases'!$J$5:$J$34,"Pass")/COUNTIF('Test Cases'!$C$5:$C$34,"Critical"),0)</f>
        <v>0.11764705882352941</v>
      </c>
      <c r="H5" s="9" t="str">
        <f>IF(AND(F5&gt;=95%,G5=100%,B10=0,B11=0,E5=0,D5=0),"READY","NOT READY")</f>
        <v>NOT READY</v>
      </c>
    </row>
    <row r="8" spans="1:8">
      <c r="A8" s="16" t="s">
        <v>10</v>
      </c>
      <c r="B8" s="16"/>
      <c r="C8" s="16"/>
      <c r="D8" s="16"/>
      <c r="F8" s="16" t="s">
        <v>11</v>
      </c>
      <c r="G8" s="16"/>
      <c r="H8" s="16"/>
    </row>
    <row r="9" spans="1:8">
      <c r="A9" s="11" t="s">
        <v>12</v>
      </c>
      <c r="B9" s="11" t="s">
        <v>13</v>
      </c>
      <c r="F9" s="11" t="s">
        <v>14</v>
      </c>
      <c r="G9" s="11" t="s">
        <v>15</v>
      </c>
      <c r="H9" s="11" t="s">
        <v>16</v>
      </c>
    </row>
    <row r="10" spans="1:8">
      <c r="A10" t="s">
        <v>17</v>
      </c>
      <c r="B10">
        <f>COUNTIFS('Defect Log'!$E$5:$E$19,"Critical",'Defect Log'!$F$5:$F$19,"&lt;&gt;Closed")</f>
        <v>0</v>
      </c>
      <c r="F10" t="s">
        <v>18</v>
      </c>
      <c r="G10" s="12">
        <v>0.95</v>
      </c>
      <c r="H10" s="13">
        <f>F5</f>
        <v>1</v>
      </c>
    </row>
    <row r="11" spans="1:8">
      <c r="A11" t="s">
        <v>19</v>
      </c>
      <c r="B11">
        <f>COUNTIFS('Defect Log'!$E$5:$E$19,"High",'Defect Log'!$F$5:$F$19,"&lt;&gt;Closed")</f>
        <v>0</v>
      </c>
      <c r="F11" t="s">
        <v>20</v>
      </c>
      <c r="G11" s="12">
        <v>1</v>
      </c>
      <c r="H11" s="13">
        <f>G5</f>
        <v>0.11764705882352941</v>
      </c>
    </row>
    <row r="12" spans="1:8">
      <c r="A12" t="s">
        <v>21</v>
      </c>
      <c r="B12">
        <f>SUM(B10:B11)+COUNTIFS('Defect Log'!$E$5:$E$19,"Medium",'Defect Log'!$F$5:$F$19,"&lt;&gt;Closed")+COUNTIFS('Defect Log'!$E$5:$E$19,"Low",'Defect Log'!$F$5:$F$19,"&lt;&gt;Closed")</f>
        <v>0</v>
      </c>
      <c r="F12" t="s">
        <v>22</v>
      </c>
      <c r="G12">
        <v>0</v>
      </c>
      <c r="H12">
        <f>B10</f>
        <v>0</v>
      </c>
    </row>
    <row r="13" spans="1:8">
      <c r="F13" t="s">
        <v>23</v>
      </c>
      <c r="G13">
        <v>0</v>
      </c>
      <c r="H13">
        <f>B11</f>
        <v>0</v>
      </c>
    </row>
    <row r="14" spans="1:8">
      <c r="F14" t="s">
        <v>24</v>
      </c>
      <c r="G14">
        <v>0</v>
      </c>
      <c r="H14">
        <f>D5+E5</f>
        <v>26</v>
      </c>
    </row>
    <row r="16" spans="1:8" ht="36" customHeight="1">
      <c r="A16" s="17" t="s">
        <v>25</v>
      </c>
      <c r="B16" s="17"/>
      <c r="C16" s="17"/>
      <c r="D16" s="17"/>
      <c r="E16" s="17"/>
      <c r="F16" s="17"/>
      <c r="G16" s="17"/>
      <c r="H16" s="17"/>
    </row>
  </sheetData>
  <mergeCells count="5">
    <mergeCell ref="A1:H1"/>
    <mergeCell ref="A2:H2"/>
    <mergeCell ref="A8:D8"/>
    <mergeCell ref="F8:H8"/>
    <mergeCell ref="A16:H16"/>
  </mergeCells>
  <conditionalFormatting sqref="H5">
    <cfRule type="containsText" dxfId="8" priority="1" operator="containsText" text="READY"/>
    <cfRule type="containsText" dxfId="7" priority="2" operator="containsText" text="NOT READY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"/>
  <sheetViews>
    <sheetView showGridLines="0" tabSelected="1" topLeftCell="D28" workbookViewId="0">
      <selection activeCell="P33" sqref="P33"/>
    </sheetView>
  </sheetViews>
  <sheetFormatPr baseColWidth="10" defaultColWidth="8.83203125" defaultRowHeight="18"/>
  <cols>
    <col min="1" max="1" width="12" customWidth="1"/>
    <col min="2" max="2" width="16" customWidth="1"/>
    <col min="3" max="3" width="13" customWidth="1"/>
    <col min="4" max="4" width="36" customWidth="1"/>
    <col min="5" max="5" width="37" customWidth="1"/>
    <col min="6" max="6" width="46" customWidth="1"/>
    <col min="7" max="7" width="43" customWidth="1"/>
    <col min="8" max="8" width="16" customWidth="1"/>
    <col min="9" max="9" width="24" customWidth="1"/>
    <col min="10" max="10" width="16" customWidth="1"/>
    <col min="11" max="11" width="35" customWidth="1"/>
    <col min="12" max="12" width="14" customWidth="1"/>
    <col min="13" max="13" width="19" style="23" customWidth="1"/>
    <col min="14" max="14" width="17" style="26" customWidth="1"/>
    <col min="15" max="15" width="30.83203125" customWidth="1"/>
    <col min="16" max="16" width="31.1640625" customWidth="1"/>
  </cols>
  <sheetData>
    <row r="1" spans="1:16" ht="32" customHeight="1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8"/>
      <c r="N1" s="24"/>
      <c r="O1" s="1"/>
      <c r="P1" s="1"/>
    </row>
    <row r="2" spans="1:16" ht="30" customHeight="1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9"/>
      <c r="N2" s="25"/>
      <c r="O2" s="2"/>
      <c r="P2" s="2"/>
    </row>
    <row r="4" spans="1:16" ht="36" customHeight="1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2" t="s">
        <v>38</v>
      </c>
      <c r="L4" s="3" t="s">
        <v>39</v>
      </c>
      <c r="M4" s="20" t="s">
        <v>40</v>
      </c>
      <c r="N4" s="27" t="s">
        <v>41</v>
      </c>
      <c r="O4" s="3" t="s">
        <v>42</v>
      </c>
      <c r="P4" s="3" t="s">
        <v>43</v>
      </c>
    </row>
    <row r="5" spans="1:16" ht="28">
      <c r="A5" s="4" t="s">
        <v>44</v>
      </c>
      <c r="B5" s="4" t="s">
        <v>45</v>
      </c>
      <c r="C5" s="4" t="s">
        <v>46</v>
      </c>
      <c r="D5" s="4" t="s">
        <v>47</v>
      </c>
      <c r="E5" s="4" t="s">
        <v>48</v>
      </c>
      <c r="F5" s="4" t="s">
        <v>49</v>
      </c>
      <c r="G5" s="4" t="s">
        <v>50</v>
      </c>
      <c r="H5" s="4" t="s">
        <v>51</v>
      </c>
      <c r="I5" s="4" t="s">
        <v>52</v>
      </c>
      <c r="J5" s="5" t="s">
        <v>6</v>
      </c>
      <c r="K5" s="30"/>
      <c r="L5" s="5"/>
      <c r="M5" s="21"/>
      <c r="N5" s="28"/>
      <c r="O5" s="30"/>
      <c r="P5" s="5"/>
    </row>
    <row r="6" spans="1:16" ht="28">
      <c r="A6" s="4" t="s">
        <v>53</v>
      </c>
      <c r="B6" s="4" t="s">
        <v>45</v>
      </c>
      <c r="C6" s="4" t="s">
        <v>46</v>
      </c>
      <c r="D6" s="4" t="s">
        <v>54</v>
      </c>
      <c r="E6" s="4" t="s">
        <v>55</v>
      </c>
      <c r="F6" s="4" t="s">
        <v>56</v>
      </c>
      <c r="G6" s="4" t="s">
        <v>57</v>
      </c>
      <c r="H6" s="4" t="s">
        <v>58</v>
      </c>
      <c r="I6" s="4" t="s">
        <v>59</v>
      </c>
      <c r="J6" s="5" t="s">
        <v>6</v>
      </c>
      <c r="K6" s="30"/>
      <c r="L6" s="5"/>
      <c r="M6" s="21"/>
      <c r="N6" s="28"/>
      <c r="O6" s="30"/>
      <c r="P6" s="5"/>
    </row>
    <row r="7" spans="1:16" ht="28">
      <c r="A7" s="4" t="s">
        <v>60</v>
      </c>
      <c r="B7" s="4" t="s">
        <v>45</v>
      </c>
      <c r="C7" s="4" t="s">
        <v>46</v>
      </c>
      <c r="D7" s="4" t="s">
        <v>61</v>
      </c>
      <c r="E7" s="4" t="s">
        <v>62</v>
      </c>
      <c r="F7" s="4" t="s">
        <v>63</v>
      </c>
      <c r="G7" s="4" t="s">
        <v>64</v>
      </c>
      <c r="H7" s="4" t="s">
        <v>65</v>
      </c>
      <c r="I7" s="4" t="s">
        <v>66</v>
      </c>
      <c r="J7" s="5" t="s">
        <v>6</v>
      </c>
      <c r="K7" s="30"/>
      <c r="L7" s="5"/>
      <c r="M7" s="21"/>
      <c r="N7" s="28"/>
      <c r="O7" s="30"/>
      <c r="P7" s="5"/>
    </row>
    <row r="8" spans="1:16" ht="28">
      <c r="A8" s="4" t="s">
        <v>67</v>
      </c>
      <c r="B8" s="4" t="s">
        <v>45</v>
      </c>
      <c r="C8" s="4" t="s">
        <v>68</v>
      </c>
      <c r="D8" s="4" t="s">
        <v>69</v>
      </c>
      <c r="E8" s="4" t="s">
        <v>70</v>
      </c>
      <c r="F8" s="4" t="s">
        <v>71</v>
      </c>
      <c r="G8" s="4" t="s">
        <v>72</v>
      </c>
      <c r="H8" s="4" t="s">
        <v>73</v>
      </c>
      <c r="I8" s="4" t="s">
        <v>74</v>
      </c>
      <c r="J8" s="5" t="s">
        <v>6</v>
      </c>
      <c r="K8" s="30"/>
      <c r="L8" s="5"/>
      <c r="M8" s="21"/>
      <c r="N8" s="28"/>
      <c r="O8" s="30"/>
      <c r="P8" s="5"/>
    </row>
    <row r="9" spans="1:16" ht="28">
      <c r="A9" s="4" t="s">
        <v>75</v>
      </c>
      <c r="B9" s="4" t="s">
        <v>76</v>
      </c>
      <c r="C9" s="4" t="s">
        <v>46</v>
      </c>
      <c r="D9" s="4" t="s">
        <v>77</v>
      </c>
      <c r="E9" s="4" t="s">
        <v>78</v>
      </c>
      <c r="F9" s="4" t="s">
        <v>79</v>
      </c>
      <c r="G9" s="4" t="s">
        <v>80</v>
      </c>
      <c r="H9" s="4" t="s">
        <v>81</v>
      </c>
      <c r="I9" s="4" t="s">
        <v>82</v>
      </c>
      <c r="J9" s="5" t="s">
        <v>6</v>
      </c>
      <c r="K9" s="30"/>
      <c r="L9" s="5"/>
      <c r="M9" s="21"/>
      <c r="N9" s="28"/>
      <c r="O9" s="30"/>
      <c r="P9" s="5"/>
    </row>
    <row r="10" spans="1:16" ht="28">
      <c r="A10" s="4" t="s">
        <v>83</v>
      </c>
      <c r="B10" s="4" t="s">
        <v>76</v>
      </c>
      <c r="C10" s="4" t="s">
        <v>68</v>
      </c>
      <c r="D10" s="4" t="s">
        <v>84</v>
      </c>
      <c r="E10" s="4" t="s">
        <v>85</v>
      </c>
      <c r="F10" s="4" t="s">
        <v>86</v>
      </c>
      <c r="G10" s="4" t="s">
        <v>87</v>
      </c>
      <c r="H10" s="4" t="s">
        <v>88</v>
      </c>
      <c r="I10" s="4" t="s">
        <v>89</v>
      </c>
      <c r="J10" s="5" t="s">
        <v>6</v>
      </c>
      <c r="K10" s="30"/>
      <c r="L10" s="5"/>
      <c r="M10" s="21"/>
      <c r="N10" s="28"/>
      <c r="O10" s="30"/>
      <c r="P10" s="5"/>
    </row>
    <row r="11" spans="1:16" ht="28">
      <c r="A11" s="4" t="s">
        <v>90</v>
      </c>
      <c r="B11" s="4" t="s">
        <v>76</v>
      </c>
      <c r="C11" s="4" t="s">
        <v>68</v>
      </c>
      <c r="D11" s="4" t="s">
        <v>91</v>
      </c>
      <c r="E11" s="4" t="s">
        <v>92</v>
      </c>
      <c r="F11" s="4" t="s">
        <v>93</v>
      </c>
      <c r="G11" s="4" t="s">
        <v>94</v>
      </c>
      <c r="H11" s="4" t="s">
        <v>95</v>
      </c>
      <c r="I11" s="4" t="s">
        <v>96</v>
      </c>
      <c r="J11" s="5" t="s">
        <v>6</v>
      </c>
      <c r="K11" s="30"/>
      <c r="L11" s="5"/>
      <c r="M11" s="21"/>
      <c r="N11" s="28"/>
      <c r="O11" s="30"/>
      <c r="P11" s="5"/>
    </row>
    <row r="12" spans="1:16" ht="28">
      <c r="A12" s="4" t="s">
        <v>97</v>
      </c>
      <c r="B12" s="4" t="s">
        <v>98</v>
      </c>
      <c r="C12" s="4" t="s">
        <v>46</v>
      </c>
      <c r="D12" s="4" t="s">
        <v>99</v>
      </c>
      <c r="E12" s="4" t="s">
        <v>100</v>
      </c>
      <c r="F12" s="4" t="s">
        <v>101</v>
      </c>
      <c r="G12" s="4" t="s">
        <v>102</v>
      </c>
      <c r="H12" s="4" t="s">
        <v>103</v>
      </c>
      <c r="I12" s="4" t="s">
        <v>104</v>
      </c>
      <c r="J12" s="5" t="s">
        <v>6</v>
      </c>
      <c r="K12" s="30"/>
      <c r="L12" s="5"/>
      <c r="M12" s="21"/>
      <c r="N12" s="28"/>
      <c r="O12" s="30"/>
      <c r="P12" s="5"/>
    </row>
    <row r="13" spans="1:16" ht="28">
      <c r="A13" s="4" t="s">
        <v>105</v>
      </c>
      <c r="B13" s="4" t="s">
        <v>98</v>
      </c>
      <c r="C13" s="4" t="s">
        <v>68</v>
      </c>
      <c r="D13" s="4" t="s">
        <v>106</v>
      </c>
      <c r="E13" s="4" t="s">
        <v>107</v>
      </c>
      <c r="F13" s="4" t="s">
        <v>108</v>
      </c>
      <c r="G13" s="4" t="s">
        <v>109</v>
      </c>
      <c r="H13" s="4" t="s">
        <v>110</v>
      </c>
      <c r="I13" s="4" t="s">
        <v>111</v>
      </c>
      <c r="J13" s="5" t="s">
        <v>6</v>
      </c>
      <c r="K13" s="30"/>
      <c r="L13" s="5"/>
      <c r="M13" s="21"/>
      <c r="N13" s="28"/>
      <c r="O13" s="30"/>
      <c r="P13" s="5"/>
    </row>
    <row r="14" spans="1:16" ht="28">
      <c r="A14" s="4" t="s">
        <v>112</v>
      </c>
      <c r="B14" s="4" t="s">
        <v>98</v>
      </c>
      <c r="C14" s="4" t="s">
        <v>68</v>
      </c>
      <c r="D14" s="4" t="s">
        <v>113</v>
      </c>
      <c r="E14" s="4" t="s">
        <v>114</v>
      </c>
      <c r="F14" s="4" t="s">
        <v>115</v>
      </c>
      <c r="G14" s="4" t="s">
        <v>116</v>
      </c>
      <c r="H14" s="4" t="s">
        <v>117</v>
      </c>
      <c r="I14" s="4" t="s">
        <v>118</v>
      </c>
      <c r="J14" s="5" t="s">
        <v>6</v>
      </c>
      <c r="K14" s="30"/>
      <c r="L14" s="5"/>
      <c r="M14" s="21"/>
      <c r="N14" s="28"/>
      <c r="O14" s="30"/>
      <c r="P14" s="5"/>
    </row>
    <row r="15" spans="1:16">
      <c r="A15" s="4" t="s">
        <v>119</v>
      </c>
      <c r="B15" s="4" t="s">
        <v>98</v>
      </c>
      <c r="C15" s="4" t="s">
        <v>46</v>
      </c>
      <c r="D15" s="4" t="s">
        <v>120</v>
      </c>
      <c r="E15" s="4" t="s">
        <v>121</v>
      </c>
      <c r="F15" s="4" t="s">
        <v>122</v>
      </c>
      <c r="G15" s="4" t="s">
        <v>123</v>
      </c>
      <c r="H15" s="4" t="s">
        <v>124</v>
      </c>
      <c r="I15" s="4" t="s">
        <v>125</v>
      </c>
      <c r="J15" s="5" t="s">
        <v>6</v>
      </c>
      <c r="K15" s="30"/>
      <c r="L15" s="5"/>
      <c r="M15" s="21"/>
      <c r="N15" s="28"/>
      <c r="O15" s="30"/>
      <c r="P15" s="5"/>
    </row>
    <row r="16" spans="1:16">
      <c r="A16" s="4" t="s">
        <v>126</v>
      </c>
      <c r="B16" s="4" t="s">
        <v>127</v>
      </c>
      <c r="C16" s="4" t="s">
        <v>46</v>
      </c>
      <c r="D16" s="4" t="s">
        <v>128</v>
      </c>
      <c r="E16" s="4" t="s">
        <v>129</v>
      </c>
      <c r="F16" s="4" t="s">
        <v>130</v>
      </c>
      <c r="G16" s="4" t="s">
        <v>131</v>
      </c>
      <c r="H16" s="4" t="s">
        <v>132</v>
      </c>
      <c r="I16" s="4" t="s">
        <v>133</v>
      </c>
      <c r="J16" s="5" t="s">
        <v>6</v>
      </c>
      <c r="K16" s="30"/>
      <c r="L16" s="5"/>
      <c r="M16" s="21"/>
      <c r="N16" s="28"/>
      <c r="O16" s="30"/>
      <c r="P16" s="5"/>
    </row>
    <row r="17" spans="1:16" ht="28">
      <c r="A17" s="4" t="s">
        <v>134</v>
      </c>
      <c r="B17" s="4" t="s">
        <v>127</v>
      </c>
      <c r="C17" s="4" t="s">
        <v>46</v>
      </c>
      <c r="D17" s="4" t="s">
        <v>135</v>
      </c>
      <c r="E17" s="4" t="s">
        <v>136</v>
      </c>
      <c r="F17" s="4" t="s">
        <v>137</v>
      </c>
      <c r="G17" s="4" t="s">
        <v>138</v>
      </c>
      <c r="H17" s="4" t="s">
        <v>139</v>
      </c>
      <c r="I17" s="4" t="s">
        <v>140</v>
      </c>
      <c r="J17" s="5" t="s">
        <v>6</v>
      </c>
      <c r="K17" s="30"/>
      <c r="L17" s="5"/>
      <c r="M17" s="21"/>
      <c r="N17" s="28"/>
      <c r="O17" s="30"/>
      <c r="P17" s="5"/>
    </row>
    <row r="18" spans="1:16" ht="28">
      <c r="A18" s="4" t="s">
        <v>141</v>
      </c>
      <c r="B18" s="4" t="s">
        <v>127</v>
      </c>
      <c r="C18" s="4" t="s">
        <v>68</v>
      </c>
      <c r="D18" s="4" t="s">
        <v>142</v>
      </c>
      <c r="E18" s="4" t="s">
        <v>143</v>
      </c>
      <c r="F18" s="4" t="s">
        <v>144</v>
      </c>
      <c r="G18" s="4" t="s">
        <v>145</v>
      </c>
      <c r="H18" s="4" t="s">
        <v>146</v>
      </c>
      <c r="I18" s="4" t="s">
        <v>147</v>
      </c>
      <c r="J18" s="5" t="s">
        <v>6</v>
      </c>
      <c r="K18" s="30"/>
      <c r="L18" s="5"/>
      <c r="M18" s="21"/>
      <c r="N18" s="28"/>
      <c r="O18" s="30"/>
      <c r="P18" s="5"/>
    </row>
    <row r="19" spans="1:16" ht="28">
      <c r="A19" s="4" t="s">
        <v>148</v>
      </c>
      <c r="B19" s="4" t="s">
        <v>149</v>
      </c>
      <c r="C19" s="4" t="s">
        <v>46</v>
      </c>
      <c r="D19" s="4" t="s">
        <v>150</v>
      </c>
      <c r="E19" s="4" t="s">
        <v>151</v>
      </c>
      <c r="F19" s="4" t="s">
        <v>152</v>
      </c>
      <c r="G19" s="4" t="s">
        <v>153</v>
      </c>
      <c r="H19" s="4" t="s">
        <v>154</v>
      </c>
      <c r="I19" s="4" t="s">
        <v>155</v>
      </c>
      <c r="J19" s="5" t="s">
        <v>6</v>
      </c>
      <c r="K19" s="30"/>
      <c r="L19" s="5"/>
      <c r="M19" s="21"/>
      <c r="N19" s="28"/>
      <c r="O19" s="30"/>
      <c r="P19" s="5"/>
    </row>
    <row r="20" spans="1:16" ht="28">
      <c r="A20" s="4" t="s">
        <v>156</v>
      </c>
      <c r="B20" s="4" t="s">
        <v>149</v>
      </c>
      <c r="C20" s="4" t="s">
        <v>46</v>
      </c>
      <c r="D20" s="4" t="s">
        <v>157</v>
      </c>
      <c r="E20" s="4" t="s">
        <v>158</v>
      </c>
      <c r="F20" s="4" t="s">
        <v>159</v>
      </c>
      <c r="G20" s="4" t="s">
        <v>160</v>
      </c>
      <c r="H20" s="4" t="s">
        <v>161</v>
      </c>
      <c r="I20" s="4" t="s">
        <v>162</v>
      </c>
      <c r="J20" s="5" t="s">
        <v>6</v>
      </c>
      <c r="K20" s="30"/>
      <c r="L20" s="5"/>
      <c r="M20" s="21"/>
      <c r="N20" s="28"/>
      <c r="O20" s="30"/>
      <c r="P20" s="5"/>
    </row>
    <row r="21" spans="1:16">
      <c r="A21" s="4" t="s">
        <v>163</v>
      </c>
      <c r="B21" s="4" t="s">
        <v>149</v>
      </c>
      <c r="C21" s="4" t="s">
        <v>68</v>
      </c>
      <c r="D21" s="4" t="s">
        <v>164</v>
      </c>
      <c r="E21" s="4" t="s">
        <v>165</v>
      </c>
      <c r="F21" s="4" t="s">
        <v>166</v>
      </c>
      <c r="G21" s="4" t="s">
        <v>167</v>
      </c>
      <c r="H21" s="4" t="s">
        <v>168</v>
      </c>
      <c r="I21" s="4" t="s">
        <v>169</v>
      </c>
      <c r="J21" s="5" t="s">
        <v>6</v>
      </c>
      <c r="K21" s="30"/>
      <c r="L21" s="5"/>
      <c r="M21" s="21"/>
      <c r="N21" s="28"/>
      <c r="O21" s="30"/>
      <c r="P21" s="5"/>
    </row>
    <row r="22" spans="1:16" ht="28">
      <c r="A22" s="4" t="s">
        <v>170</v>
      </c>
      <c r="B22" s="4" t="s">
        <v>171</v>
      </c>
      <c r="C22" s="4" t="s">
        <v>46</v>
      </c>
      <c r="D22" s="4" t="s">
        <v>172</v>
      </c>
      <c r="E22" s="4" t="s">
        <v>173</v>
      </c>
      <c r="F22" s="4" t="s">
        <v>174</v>
      </c>
      <c r="G22" s="4" t="s">
        <v>175</v>
      </c>
      <c r="H22" s="4" t="s">
        <v>176</v>
      </c>
      <c r="I22" s="4" t="s">
        <v>177</v>
      </c>
      <c r="J22" s="5" t="s">
        <v>6</v>
      </c>
      <c r="K22" s="30"/>
      <c r="L22" s="5"/>
      <c r="M22" s="21"/>
      <c r="N22" s="28"/>
      <c r="O22" s="30"/>
      <c r="P22" s="5"/>
    </row>
    <row r="23" spans="1:16" ht="28">
      <c r="A23" s="4" t="s">
        <v>178</v>
      </c>
      <c r="B23" s="4" t="s">
        <v>171</v>
      </c>
      <c r="C23" s="4" t="s">
        <v>68</v>
      </c>
      <c r="D23" s="4" t="s">
        <v>179</v>
      </c>
      <c r="E23" s="4" t="s">
        <v>180</v>
      </c>
      <c r="F23" s="4" t="s">
        <v>181</v>
      </c>
      <c r="G23" s="4" t="s">
        <v>182</v>
      </c>
      <c r="H23" s="4" t="s">
        <v>183</v>
      </c>
      <c r="I23" s="4" t="s">
        <v>184</v>
      </c>
      <c r="J23" s="5" t="s">
        <v>6</v>
      </c>
      <c r="K23" s="30"/>
      <c r="L23" s="5"/>
      <c r="M23" s="21"/>
      <c r="N23" s="28"/>
      <c r="O23" s="30"/>
      <c r="P23" s="5"/>
    </row>
    <row r="24" spans="1:16" ht="28">
      <c r="A24" s="4" t="s">
        <v>185</v>
      </c>
      <c r="B24" s="4" t="s">
        <v>171</v>
      </c>
      <c r="C24" s="4" t="s">
        <v>68</v>
      </c>
      <c r="D24" s="4" t="s">
        <v>186</v>
      </c>
      <c r="E24" s="4" t="s">
        <v>187</v>
      </c>
      <c r="F24" s="4" t="s">
        <v>188</v>
      </c>
      <c r="G24" s="4" t="s">
        <v>189</v>
      </c>
      <c r="H24" s="4" t="s">
        <v>190</v>
      </c>
      <c r="I24" s="4" t="s">
        <v>191</v>
      </c>
      <c r="J24" s="5" t="s">
        <v>6</v>
      </c>
      <c r="K24" s="30"/>
      <c r="L24" s="5"/>
      <c r="M24" s="21"/>
      <c r="N24" s="28"/>
      <c r="O24" s="30"/>
      <c r="P24" s="5"/>
    </row>
    <row r="25" spans="1:16" ht="28">
      <c r="A25" s="4" t="s">
        <v>192</v>
      </c>
      <c r="B25" s="4" t="s">
        <v>193</v>
      </c>
      <c r="C25" s="4" t="s">
        <v>46</v>
      </c>
      <c r="D25" s="4" t="s">
        <v>194</v>
      </c>
      <c r="E25" s="4" t="s">
        <v>195</v>
      </c>
      <c r="F25" s="4" t="s">
        <v>196</v>
      </c>
      <c r="G25" s="4" t="s">
        <v>197</v>
      </c>
      <c r="H25" s="4" t="s">
        <v>198</v>
      </c>
      <c r="I25" s="4" t="s">
        <v>199</v>
      </c>
      <c r="J25" s="5" t="s">
        <v>6</v>
      </c>
      <c r="K25" s="30"/>
      <c r="L25" s="5"/>
      <c r="M25" s="21"/>
      <c r="N25" s="28"/>
      <c r="O25" s="30"/>
      <c r="P25" s="5"/>
    </row>
    <row r="26" spans="1:16" ht="28">
      <c r="A26" s="4" t="s">
        <v>200</v>
      </c>
      <c r="B26" s="4" t="s">
        <v>193</v>
      </c>
      <c r="C26" s="4" t="s">
        <v>68</v>
      </c>
      <c r="D26" s="4" t="s">
        <v>201</v>
      </c>
      <c r="E26" s="4" t="s">
        <v>202</v>
      </c>
      <c r="F26" s="4" t="s">
        <v>203</v>
      </c>
      <c r="G26" s="4" t="s">
        <v>204</v>
      </c>
      <c r="H26" s="4" t="s">
        <v>205</v>
      </c>
      <c r="I26" s="4" t="s">
        <v>206</v>
      </c>
      <c r="J26" s="5" t="s">
        <v>6</v>
      </c>
      <c r="K26" s="30"/>
      <c r="L26" s="5"/>
      <c r="M26" s="21"/>
      <c r="N26" s="28"/>
      <c r="O26" s="30"/>
      <c r="P26" s="5"/>
    </row>
    <row r="27" spans="1:16">
      <c r="A27" s="4" t="s">
        <v>207</v>
      </c>
      <c r="B27" s="4" t="s">
        <v>208</v>
      </c>
      <c r="C27" s="4" t="s">
        <v>46</v>
      </c>
      <c r="D27" s="4" t="s">
        <v>209</v>
      </c>
      <c r="E27" s="4" t="s">
        <v>210</v>
      </c>
      <c r="F27" s="4" t="s">
        <v>211</v>
      </c>
      <c r="G27" s="4" t="s">
        <v>212</v>
      </c>
      <c r="H27" s="4" t="s">
        <v>213</v>
      </c>
      <c r="I27" s="4" t="s">
        <v>162</v>
      </c>
      <c r="J27" s="5" t="s">
        <v>6</v>
      </c>
      <c r="K27" s="30"/>
      <c r="L27" s="5"/>
      <c r="M27" s="21"/>
      <c r="N27" s="28"/>
      <c r="O27" s="30"/>
      <c r="P27" s="5"/>
    </row>
    <row r="28" spans="1:16" ht="28">
      <c r="A28" s="4" t="s">
        <v>214</v>
      </c>
      <c r="B28" s="4" t="s">
        <v>208</v>
      </c>
      <c r="C28" s="4" t="s">
        <v>46</v>
      </c>
      <c r="D28" s="4" t="s">
        <v>215</v>
      </c>
      <c r="E28" s="4" t="s">
        <v>216</v>
      </c>
      <c r="F28" s="4" t="s">
        <v>217</v>
      </c>
      <c r="G28" s="4" t="s">
        <v>218</v>
      </c>
      <c r="H28" s="4" t="s">
        <v>219</v>
      </c>
      <c r="I28" s="4" t="s">
        <v>162</v>
      </c>
      <c r="J28" s="5" t="s">
        <v>6</v>
      </c>
      <c r="K28" s="30"/>
      <c r="L28" s="5"/>
      <c r="M28" s="21"/>
      <c r="N28" s="28"/>
      <c r="O28" s="30"/>
      <c r="P28" s="5"/>
    </row>
    <row r="29" spans="1:16" ht="28">
      <c r="A29" s="4" t="s">
        <v>220</v>
      </c>
      <c r="B29" s="4" t="s">
        <v>221</v>
      </c>
      <c r="C29" s="4" t="s">
        <v>46</v>
      </c>
      <c r="D29" s="4" t="s">
        <v>222</v>
      </c>
      <c r="E29" s="4" t="s">
        <v>223</v>
      </c>
      <c r="F29" s="4" t="s">
        <v>224</v>
      </c>
      <c r="G29" s="4" t="s">
        <v>225</v>
      </c>
      <c r="H29" s="4" t="s">
        <v>226</v>
      </c>
      <c r="I29" s="4" t="s">
        <v>227</v>
      </c>
      <c r="J29" s="5" t="s">
        <v>6</v>
      </c>
      <c r="K29" s="30"/>
      <c r="L29" s="5"/>
      <c r="M29" s="21"/>
      <c r="N29" s="28"/>
      <c r="O29" s="30"/>
      <c r="P29" s="5"/>
    </row>
    <row r="30" spans="1:16" ht="38">
      <c r="A30" s="4" t="s">
        <v>228</v>
      </c>
      <c r="B30" s="4" t="s">
        <v>229</v>
      </c>
      <c r="C30" s="4" t="s">
        <v>46</v>
      </c>
      <c r="D30" s="4" t="s">
        <v>230</v>
      </c>
      <c r="E30" s="4" t="s">
        <v>231</v>
      </c>
      <c r="F30" s="4" t="s">
        <v>232</v>
      </c>
      <c r="G30" s="4" t="s">
        <v>233</v>
      </c>
      <c r="H30" s="4" t="s">
        <v>234</v>
      </c>
      <c r="I30" s="4" t="s">
        <v>235</v>
      </c>
      <c r="J30" s="5" t="s">
        <v>315</v>
      </c>
      <c r="K30" s="31" t="s">
        <v>346</v>
      </c>
      <c r="L30" s="5"/>
      <c r="M30" s="22" t="s">
        <v>341</v>
      </c>
      <c r="N30" s="28">
        <v>46251</v>
      </c>
      <c r="O30" s="29" t="s">
        <v>342</v>
      </c>
      <c r="P30" s="30" t="s">
        <v>350</v>
      </c>
    </row>
    <row r="31" spans="1:16" ht="38">
      <c r="A31" s="4" t="s">
        <v>236</v>
      </c>
      <c r="B31" s="4" t="s">
        <v>237</v>
      </c>
      <c r="C31" s="4" t="s">
        <v>46</v>
      </c>
      <c r="D31" s="4" t="s">
        <v>238</v>
      </c>
      <c r="E31" s="4" t="s">
        <v>239</v>
      </c>
      <c r="F31" s="4" t="s">
        <v>240</v>
      </c>
      <c r="G31" s="4" t="s">
        <v>241</v>
      </c>
      <c r="H31" s="4" t="s">
        <v>242</v>
      </c>
      <c r="I31" s="4" t="s">
        <v>243</v>
      </c>
      <c r="J31" s="5" t="s">
        <v>315</v>
      </c>
      <c r="K31" s="29" t="s">
        <v>347</v>
      </c>
      <c r="L31" s="5"/>
      <c r="M31" s="22" t="s">
        <v>341</v>
      </c>
      <c r="N31" s="28">
        <v>46251</v>
      </c>
      <c r="O31" s="31" t="s">
        <v>343</v>
      </c>
      <c r="P31" s="31" t="s">
        <v>351</v>
      </c>
    </row>
    <row r="32" spans="1:16" ht="38">
      <c r="A32" s="4" t="s">
        <v>244</v>
      </c>
      <c r="B32" s="4" t="s">
        <v>237</v>
      </c>
      <c r="C32" s="4" t="s">
        <v>68</v>
      </c>
      <c r="D32" s="4" t="s">
        <v>245</v>
      </c>
      <c r="E32" s="4" t="s">
        <v>239</v>
      </c>
      <c r="F32" s="4" t="s">
        <v>246</v>
      </c>
      <c r="G32" s="4" t="s">
        <v>247</v>
      </c>
      <c r="H32" s="4" t="s">
        <v>248</v>
      </c>
      <c r="I32" s="4" t="s">
        <v>249</v>
      </c>
      <c r="J32" s="5" t="s">
        <v>315</v>
      </c>
      <c r="K32" s="29" t="s">
        <v>348</v>
      </c>
      <c r="L32" s="5"/>
      <c r="M32" s="22" t="s">
        <v>341</v>
      </c>
      <c r="N32" s="28">
        <v>46251</v>
      </c>
      <c r="O32" s="29" t="s">
        <v>344</v>
      </c>
      <c r="P32" s="31" t="s">
        <v>352</v>
      </c>
    </row>
    <row r="33" spans="1:16" ht="68">
      <c r="A33" s="4" t="s">
        <v>250</v>
      </c>
      <c r="B33" s="4" t="s">
        <v>237</v>
      </c>
      <c r="C33" s="4" t="s">
        <v>68</v>
      </c>
      <c r="D33" s="4" t="s">
        <v>251</v>
      </c>
      <c r="E33" s="4" t="s">
        <v>252</v>
      </c>
      <c r="F33" s="4" t="s">
        <v>253</v>
      </c>
      <c r="G33" s="4" t="s">
        <v>254</v>
      </c>
      <c r="H33" s="4" t="s">
        <v>255</v>
      </c>
      <c r="I33" s="4" t="s">
        <v>256</v>
      </c>
      <c r="J33" s="5" t="s">
        <v>315</v>
      </c>
      <c r="K33" s="31" t="s">
        <v>349</v>
      </c>
      <c r="L33" s="5"/>
      <c r="M33" s="22" t="s">
        <v>341</v>
      </c>
      <c r="N33" s="28">
        <v>46251</v>
      </c>
      <c r="O33" s="30" t="s">
        <v>345</v>
      </c>
      <c r="P33" s="31" t="s">
        <v>353</v>
      </c>
    </row>
    <row r="34" spans="1:16" ht="38">
      <c r="A34" s="4" t="s">
        <v>257</v>
      </c>
      <c r="B34" s="4" t="s">
        <v>258</v>
      </c>
      <c r="C34" s="4" t="s">
        <v>68</v>
      </c>
      <c r="D34" s="4" t="s">
        <v>259</v>
      </c>
      <c r="E34" s="4" t="s">
        <v>260</v>
      </c>
      <c r="F34" s="4" t="s">
        <v>261</v>
      </c>
      <c r="G34" s="4" t="s">
        <v>262</v>
      </c>
      <c r="H34" s="4" t="s">
        <v>263</v>
      </c>
      <c r="I34" s="4" t="s">
        <v>264</v>
      </c>
      <c r="J34" s="5" t="s">
        <v>6</v>
      </c>
      <c r="K34" s="30"/>
      <c r="L34" s="5"/>
      <c r="M34" s="22" t="s">
        <v>341</v>
      </c>
      <c r="N34" s="28">
        <v>46251</v>
      </c>
      <c r="O34" s="30"/>
      <c r="P34" s="5"/>
    </row>
  </sheetData>
  <conditionalFormatting sqref="J5:J34">
    <cfRule type="containsText" dxfId="6" priority="1" operator="containsText" text="Pass"/>
    <cfRule type="containsText" dxfId="5" priority="2" operator="containsText" text="Fail"/>
    <cfRule type="containsText" dxfId="4" priority="3" operator="containsText" text="Blocked"/>
  </conditionalFormatting>
  <dataValidations count="2">
    <dataValidation type="list" sqref="J5:J34" xr:uid="{00000000-0002-0000-0100-000000000000}">
      <formula1>"Not Run,Pass,Fail,Blocked,N/A"</formula1>
    </dataValidation>
    <dataValidation type="list" sqref="C5:C34" xr:uid="{00000000-0002-0000-0100-000001000000}">
      <formula1>"Critical,High,Medium,Low"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showGridLines="0" workbookViewId="0"/>
  </sheetViews>
  <sheetFormatPr baseColWidth="10" defaultColWidth="8.83203125" defaultRowHeight="15"/>
  <cols>
    <col min="1" max="2" width="13" customWidth="1"/>
    <col min="3" max="3" width="30" customWidth="1"/>
    <col min="4" max="4" width="44" customWidth="1"/>
    <col min="5" max="5" width="13" customWidth="1"/>
    <col min="6" max="6" width="16" customWidth="1"/>
    <col min="7" max="7" width="20" customWidth="1"/>
    <col min="8" max="8" width="16" customWidth="1"/>
    <col min="9" max="9" width="18" customWidth="1"/>
    <col min="10" max="10" width="38" customWidth="1"/>
    <col min="11" max="12" width="16" customWidth="1"/>
    <col min="13" max="13" width="27" customWidth="1"/>
  </cols>
  <sheetData>
    <row r="1" spans="1:13" ht="32" customHeight="1">
      <c r="A1" s="14" t="s">
        <v>265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30" customHeight="1">
      <c r="A2" s="15" t="s">
        <v>266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4" spans="1:13" ht="36" customHeight="1">
      <c r="A4" s="3" t="s">
        <v>39</v>
      </c>
      <c r="B4" s="3" t="s">
        <v>28</v>
      </c>
      <c r="C4" s="3" t="s">
        <v>267</v>
      </c>
      <c r="D4" s="3" t="s">
        <v>268</v>
      </c>
      <c r="E4" s="3" t="s">
        <v>269</v>
      </c>
      <c r="F4" s="3" t="s">
        <v>270</v>
      </c>
      <c r="G4" s="3" t="s">
        <v>271</v>
      </c>
      <c r="H4" s="3" t="s">
        <v>272</v>
      </c>
      <c r="I4" s="3" t="s">
        <v>273</v>
      </c>
      <c r="J4" s="3" t="s">
        <v>274</v>
      </c>
      <c r="K4" s="3" t="s">
        <v>275</v>
      </c>
      <c r="L4" s="3" t="s">
        <v>276</v>
      </c>
      <c r="M4" s="3" t="s">
        <v>42</v>
      </c>
    </row>
    <row r="5" spans="1:13">
      <c r="A5" s="4" t="s">
        <v>277</v>
      </c>
      <c r="B5" s="5"/>
      <c r="C5" s="5"/>
      <c r="D5" s="5"/>
      <c r="E5" s="5"/>
      <c r="F5" s="5"/>
      <c r="G5" s="5"/>
      <c r="H5" s="6"/>
      <c r="I5" s="6"/>
      <c r="J5" s="5"/>
      <c r="K5" s="5"/>
      <c r="L5" s="6"/>
      <c r="M5" s="5"/>
    </row>
    <row r="6" spans="1:13">
      <c r="A6" s="4" t="s">
        <v>278</v>
      </c>
      <c r="B6" s="5"/>
      <c r="C6" s="5"/>
      <c r="D6" s="5"/>
      <c r="E6" s="5"/>
      <c r="F6" s="5"/>
      <c r="G6" s="5"/>
      <c r="H6" s="6"/>
      <c r="I6" s="6"/>
      <c r="J6" s="5"/>
      <c r="K6" s="5"/>
      <c r="L6" s="6"/>
      <c r="M6" s="5"/>
    </row>
    <row r="7" spans="1:13">
      <c r="A7" s="4" t="s">
        <v>279</v>
      </c>
      <c r="B7" s="5"/>
      <c r="C7" s="5"/>
      <c r="D7" s="5"/>
      <c r="E7" s="5"/>
      <c r="F7" s="5"/>
      <c r="G7" s="5"/>
      <c r="H7" s="6"/>
      <c r="I7" s="6"/>
      <c r="J7" s="5"/>
      <c r="K7" s="5"/>
      <c r="L7" s="6"/>
      <c r="M7" s="5"/>
    </row>
    <row r="8" spans="1:13">
      <c r="A8" s="4" t="s">
        <v>280</v>
      </c>
      <c r="B8" s="5"/>
      <c r="C8" s="5"/>
      <c r="D8" s="5"/>
      <c r="E8" s="5"/>
      <c r="F8" s="5"/>
      <c r="G8" s="5"/>
      <c r="H8" s="6"/>
      <c r="I8" s="6"/>
      <c r="J8" s="5"/>
      <c r="K8" s="5"/>
      <c r="L8" s="6"/>
      <c r="M8" s="5"/>
    </row>
    <row r="9" spans="1:13">
      <c r="A9" s="4" t="s">
        <v>281</v>
      </c>
      <c r="B9" s="5"/>
      <c r="C9" s="5"/>
      <c r="D9" s="5"/>
      <c r="E9" s="5"/>
      <c r="F9" s="5"/>
      <c r="G9" s="5"/>
      <c r="H9" s="6"/>
      <c r="I9" s="6"/>
      <c r="J9" s="5"/>
      <c r="K9" s="5"/>
      <c r="L9" s="6"/>
      <c r="M9" s="5"/>
    </row>
    <row r="10" spans="1:13">
      <c r="A10" s="4" t="s">
        <v>282</v>
      </c>
      <c r="B10" s="5"/>
      <c r="C10" s="5"/>
      <c r="D10" s="5"/>
      <c r="E10" s="5"/>
      <c r="F10" s="5"/>
      <c r="G10" s="5"/>
      <c r="H10" s="6"/>
      <c r="I10" s="6"/>
      <c r="J10" s="5"/>
      <c r="K10" s="5"/>
      <c r="L10" s="6"/>
      <c r="M10" s="5"/>
    </row>
    <row r="11" spans="1:13">
      <c r="A11" s="4" t="s">
        <v>283</v>
      </c>
      <c r="B11" s="5"/>
      <c r="C11" s="5"/>
      <c r="D11" s="5"/>
      <c r="E11" s="5"/>
      <c r="F11" s="5"/>
      <c r="G11" s="5"/>
      <c r="H11" s="6"/>
      <c r="I11" s="6"/>
      <c r="J11" s="5"/>
      <c r="K11" s="5"/>
      <c r="L11" s="6"/>
      <c r="M11" s="5"/>
    </row>
    <row r="12" spans="1:13">
      <c r="A12" s="4" t="s">
        <v>284</v>
      </c>
      <c r="B12" s="5"/>
      <c r="C12" s="5"/>
      <c r="D12" s="5"/>
      <c r="E12" s="5"/>
      <c r="F12" s="5"/>
      <c r="G12" s="5"/>
      <c r="H12" s="6"/>
      <c r="I12" s="6"/>
      <c r="J12" s="5"/>
      <c r="K12" s="5"/>
      <c r="L12" s="6"/>
      <c r="M12" s="5"/>
    </row>
    <row r="13" spans="1:13">
      <c r="A13" s="4" t="s">
        <v>285</v>
      </c>
      <c r="B13" s="5"/>
      <c r="C13" s="5"/>
      <c r="D13" s="5"/>
      <c r="E13" s="5"/>
      <c r="F13" s="5"/>
      <c r="G13" s="5"/>
      <c r="H13" s="6"/>
      <c r="I13" s="6"/>
      <c r="J13" s="5"/>
      <c r="K13" s="5"/>
      <c r="L13" s="6"/>
      <c r="M13" s="5"/>
    </row>
    <row r="14" spans="1:13">
      <c r="A14" s="4" t="s">
        <v>286</v>
      </c>
      <c r="B14" s="5"/>
      <c r="C14" s="5"/>
      <c r="D14" s="5"/>
      <c r="E14" s="5"/>
      <c r="F14" s="5"/>
      <c r="G14" s="5"/>
      <c r="H14" s="6"/>
      <c r="I14" s="6"/>
      <c r="J14" s="5"/>
      <c r="K14" s="5"/>
      <c r="L14" s="6"/>
      <c r="M14" s="5"/>
    </row>
    <row r="15" spans="1:13">
      <c r="A15" s="4" t="s">
        <v>287</v>
      </c>
      <c r="B15" s="5"/>
      <c r="C15" s="5"/>
      <c r="D15" s="5"/>
      <c r="E15" s="5"/>
      <c r="F15" s="5"/>
      <c r="G15" s="5"/>
      <c r="H15" s="6"/>
      <c r="I15" s="6"/>
      <c r="J15" s="5"/>
      <c r="K15" s="5"/>
      <c r="L15" s="6"/>
      <c r="M15" s="5"/>
    </row>
    <row r="16" spans="1:13">
      <c r="A16" s="4" t="s">
        <v>288</v>
      </c>
      <c r="B16" s="5"/>
      <c r="C16" s="5"/>
      <c r="D16" s="5"/>
      <c r="E16" s="5"/>
      <c r="F16" s="5"/>
      <c r="G16" s="5"/>
      <c r="H16" s="6"/>
      <c r="I16" s="6"/>
      <c r="J16" s="5"/>
      <c r="K16" s="5"/>
      <c r="L16" s="6"/>
      <c r="M16" s="5"/>
    </row>
    <row r="17" spans="1:13">
      <c r="A17" s="4" t="s">
        <v>289</v>
      </c>
      <c r="B17" s="5"/>
      <c r="C17" s="5"/>
      <c r="D17" s="5"/>
      <c r="E17" s="5"/>
      <c r="F17" s="5"/>
      <c r="G17" s="5"/>
      <c r="H17" s="6"/>
      <c r="I17" s="6"/>
      <c r="J17" s="5"/>
      <c r="K17" s="5"/>
      <c r="L17" s="6"/>
      <c r="M17" s="5"/>
    </row>
    <row r="18" spans="1:13">
      <c r="A18" s="4" t="s">
        <v>290</v>
      </c>
      <c r="B18" s="5"/>
      <c r="C18" s="5"/>
      <c r="D18" s="5"/>
      <c r="E18" s="5"/>
      <c r="F18" s="5"/>
      <c r="G18" s="5"/>
      <c r="H18" s="6"/>
      <c r="I18" s="6"/>
      <c r="J18" s="5"/>
      <c r="K18" s="5"/>
      <c r="L18" s="6"/>
      <c r="M18" s="5"/>
    </row>
    <row r="19" spans="1:13">
      <c r="A19" s="4" t="s">
        <v>291</v>
      </c>
      <c r="B19" s="5"/>
      <c r="C19" s="5"/>
      <c r="D19" s="5"/>
      <c r="E19" s="5"/>
      <c r="F19" s="5"/>
      <c r="G19" s="5"/>
      <c r="H19" s="6"/>
      <c r="I19" s="6"/>
      <c r="J19" s="5"/>
      <c r="K19" s="5"/>
      <c r="L19" s="6"/>
      <c r="M19" s="5"/>
    </row>
  </sheetData>
  <mergeCells count="2">
    <mergeCell ref="A1:M1"/>
    <mergeCell ref="A2:M2"/>
  </mergeCells>
  <dataValidations count="3">
    <dataValidation type="list" sqref="E5:E19" xr:uid="{00000000-0002-0000-0200-000000000000}">
      <formula1>"Critical,High,Medium,Low"</formula1>
    </dataValidation>
    <dataValidation type="list" sqref="F5:F19" xr:uid="{00000000-0002-0000-0200-000001000000}">
      <formula1>"Open,In Progress,Resolved,Closed,Deferred"</formula1>
    </dataValidation>
    <dataValidation type="list" sqref="K5:K19" xr:uid="{00000000-0002-0000-0200-000002000000}">
      <formula1>"Not Retested,Pass,Fail"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showGridLines="0" workbookViewId="0"/>
  </sheetViews>
  <sheetFormatPr baseColWidth="10" defaultColWidth="8.83203125" defaultRowHeight="15"/>
  <cols>
    <col min="1" max="1" width="25" customWidth="1"/>
    <col min="2" max="2" width="22" customWidth="1"/>
    <col min="3" max="3" width="24" customWidth="1"/>
    <col min="4" max="4" width="34" customWidth="1"/>
    <col min="5" max="5" width="18" customWidth="1"/>
    <col min="6" max="6" width="38" customWidth="1"/>
    <col min="7" max="7" width="20" customWidth="1"/>
    <col min="8" max="8" width="30" customWidth="1"/>
  </cols>
  <sheetData>
    <row r="1" spans="1:8" ht="32" customHeight="1">
      <c r="A1" s="14" t="s">
        <v>292</v>
      </c>
      <c r="B1" s="14"/>
      <c r="C1" s="14"/>
      <c r="D1" s="14"/>
      <c r="E1" s="14"/>
      <c r="F1" s="14"/>
      <c r="G1" s="14"/>
      <c r="H1" s="14"/>
    </row>
    <row r="2" spans="1:8" ht="30" customHeight="1">
      <c r="A2" s="15" t="s">
        <v>293</v>
      </c>
      <c r="B2" s="15"/>
      <c r="C2" s="15"/>
      <c r="D2" s="15"/>
      <c r="E2" s="15"/>
      <c r="F2" s="15"/>
      <c r="G2" s="15"/>
      <c r="H2" s="15"/>
    </row>
    <row r="4" spans="1:8" ht="36" customHeight="1">
      <c r="A4" s="3" t="s">
        <v>294</v>
      </c>
      <c r="B4" s="3" t="s">
        <v>295</v>
      </c>
      <c r="C4" s="3" t="s">
        <v>296</v>
      </c>
      <c r="D4" s="3" t="s">
        <v>297</v>
      </c>
      <c r="E4" s="3" t="s">
        <v>298</v>
      </c>
      <c r="F4" s="3" t="s">
        <v>299</v>
      </c>
      <c r="G4" s="3" t="s">
        <v>300</v>
      </c>
      <c r="H4" s="3" t="s">
        <v>43</v>
      </c>
    </row>
    <row r="5" spans="1:8">
      <c r="A5" t="s">
        <v>301</v>
      </c>
      <c r="B5" s="7"/>
      <c r="C5" s="7" t="s">
        <v>302</v>
      </c>
      <c r="D5" s="7"/>
      <c r="E5" s="8"/>
      <c r="F5" s="7"/>
      <c r="G5" s="7" t="s">
        <v>303</v>
      </c>
      <c r="H5" s="7"/>
    </row>
    <row r="6" spans="1:8">
      <c r="A6" t="s">
        <v>304</v>
      </c>
      <c r="B6" s="7"/>
      <c r="C6" s="7" t="s">
        <v>302</v>
      </c>
      <c r="D6" s="7"/>
      <c r="E6" s="8"/>
      <c r="F6" s="7"/>
      <c r="G6" s="7" t="s">
        <v>303</v>
      </c>
      <c r="H6" s="7"/>
    </row>
    <row r="7" spans="1:8">
      <c r="A7" t="s">
        <v>305</v>
      </c>
      <c r="B7" s="7"/>
      <c r="C7" s="7" t="s">
        <v>302</v>
      </c>
      <c r="D7" s="7"/>
      <c r="E7" s="8"/>
      <c r="F7" s="7"/>
      <c r="G7" s="7" t="s">
        <v>303</v>
      </c>
      <c r="H7" s="7"/>
    </row>
    <row r="8" spans="1:8">
      <c r="A8" t="s">
        <v>306</v>
      </c>
      <c r="B8" s="7"/>
      <c r="C8" s="7" t="s">
        <v>302</v>
      </c>
      <c r="D8" s="7"/>
      <c r="E8" s="8"/>
      <c r="F8" s="7"/>
      <c r="G8" s="7" t="s">
        <v>303</v>
      </c>
      <c r="H8" s="7"/>
    </row>
    <row r="9" spans="1:8">
      <c r="A9" t="s">
        <v>307</v>
      </c>
      <c r="B9" s="7"/>
      <c r="C9" s="7" t="s">
        <v>302</v>
      </c>
      <c r="D9" s="7"/>
      <c r="E9" s="8"/>
      <c r="F9" s="7"/>
      <c r="G9" s="7" t="s">
        <v>303</v>
      </c>
      <c r="H9" s="7"/>
    </row>
  </sheetData>
  <mergeCells count="2">
    <mergeCell ref="A1:H1"/>
    <mergeCell ref="A2:H2"/>
  </mergeCells>
  <dataValidations count="2">
    <dataValidation type="list" sqref="C5:C9" xr:uid="{00000000-0002-0000-0300-000000000000}">
      <formula1>"Pending,Approved,Approved with Conditions,Rejected"</formula1>
    </dataValidation>
    <dataValidation type="list" sqref="G5:G9" xr:uid="{00000000-0002-0000-0300-000001000000}">
      <formula1>"No,Yes"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showGridLines="0" workbookViewId="0"/>
  </sheetViews>
  <sheetFormatPr baseColWidth="10" defaultColWidth="8.83203125" defaultRowHeight="15"/>
  <cols>
    <col min="1" max="1" width="20" customWidth="1"/>
    <col min="2" max="2" width="24" customWidth="1"/>
    <col min="3" max="3" width="52" customWidth="1"/>
    <col min="4" max="4" width="33" customWidth="1"/>
  </cols>
  <sheetData>
    <row r="1" spans="1:4" ht="32" customHeight="1">
      <c r="A1" s="14" t="s">
        <v>308</v>
      </c>
      <c r="B1" s="14"/>
      <c r="C1" s="14"/>
      <c r="D1" s="14"/>
    </row>
    <row r="2" spans="1:4" ht="30" customHeight="1">
      <c r="A2" s="15" t="s">
        <v>309</v>
      </c>
      <c r="B2" s="15"/>
      <c r="C2" s="15"/>
      <c r="D2" s="15"/>
    </row>
    <row r="4" spans="1:4" ht="36" customHeight="1">
      <c r="A4" s="3" t="s">
        <v>310</v>
      </c>
      <c r="B4" s="3" t="s">
        <v>13</v>
      </c>
      <c r="C4" s="3" t="s">
        <v>311</v>
      </c>
      <c r="D4" s="3" t="s">
        <v>312</v>
      </c>
    </row>
    <row r="5" spans="1:4">
      <c r="A5" s="4" t="s">
        <v>37</v>
      </c>
      <c r="B5" s="4" t="s">
        <v>6</v>
      </c>
      <c r="C5" s="4" t="s">
        <v>313</v>
      </c>
      <c r="D5" s="4" t="s">
        <v>314</v>
      </c>
    </row>
    <row r="6" spans="1:4">
      <c r="A6" s="4" t="s">
        <v>37</v>
      </c>
      <c r="B6" s="4" t="s">
        <v>315</v>
      </c>
      <c r="C6" s="4" t="s">
        <v>316</v>
      </c>
      <c r="D6" s="4" t="s">
        <v>317</v>
      </c>
    </row>
    <row r="7" spans="1:4">
      <c r="A7" s="4" t="s">
        <v>37</v>
      </c>
      <c r="B7" s="4" t="s">
        <v>318</v>
      </c>
      <c r="C7" s="4" t="s">
        <v>319</v>
      </c>
      <c r="D7" s="4" t="s">
        <v>320</v>
      </c>
    </row>
    <row r="8" spans="1:4">
      <c r="A8" s="4" t="s">
        <v>37</v>
      </c>
      <c r="B8" s="4" t="s">
        <v>5</v>
      </c>
      <c r="C8" s="4" t="s">
        <v>321</v>
      </c>
      <c r="D8" s="4" t="s">
        <v>314</v>
      </c>
    </row>
    <row r="9" spans="1:4">
      <c r="A9" s="4" t="s">
        <v>37</v>
      </c>
      <c r="B9" s="4" t="s">
        <v>322</v>
      </c>
      <c r="C9" s="4" t="s">
        <v>323</v>
      </c>
      <c r="D9" s="4" t="s">
        <v>324</v>
      </c>
    </row>
    <row r="10" spans="1:4" ht="28">
      <c r="A10" s="4" t="s">
        <v>30</v>
      </c>
      <c r="B10" s="4" t="s">
        <v>46</v>
      </c>
      <c r="C10" s="4" t="s">
        <v>325</v>
      </c>
      <c r="D10" s="4" t="s">
        <v>326</v>
      </c>
    </row>
    <row r="11" spans="1:4" ht="28">
      <c r="A11" s="4" t="s">
        <v>30</v>
      </c>
      <c r="B11" s="4" t="s">
        <v>68</v>
      </c>
      <c r="C11" s="4" t="s">
        <v>327</v>
      </c>
      <c r="D11" s="4" t="s">
        <v>328</v>
      </c>
    </row>
    <row r="12" spans="1:4">
      <c r="A12" s="4" t="s">
        <v>30</v>
      </c>
      <c r="B12" s="4" t="s">
        <v>329</v>
      </c>
      <c r="C12" s="4" t="s">
        <v>330</v>
      </c>
      <c r="D12" s="4" t="s">
        <v>331</v>
      </c>
    </row>
    <row r="13" spans="1:4">
      <c r="A13" s="4" t="s">
        <v>30</v>
      </c>
      <c r="B13" s="4" t="s">
        <v>332</v>
      </c>
      <c r="C13" s="4" t="s">
        <v>333</v>
      </c>
      <c r="D13" s="4" t="s">
        <v>334</v>
      </c>
    </row>
    <row r="14" spans="1:4">
      <c r="A14" s="4" t="s">
        <v>335</v>
      </c>
      <c r="B14" s="4" t="s">
        <v>18</v>
      </c>
      <c r="C14" s="4" t="s">
        <v>336</v>
      </c>
      <c r="D14" s="4" t="s">
        <v>337</v>
      </c>
    </row>
    <row r="15" spans="1:4">
      <c r="A15" s="4" t="s">
        <v>335</v>
      </c>
      <c r="B15" s="4" t="s">
        <v>20</v>
      </c>
      <c r="C15" s="4" t="s">
        <v>338</v>
      </c>
      <c r="D15" s="4" t="s">
        <v>337</v>
      </c>
    </row>
    <row r="16" spans="1:4">
      <c r="A16" s="4" t="s">
        <v>335</v>
      </c>
      <c r="B16" s="4" t="s">
        <v>22</v>
      </c>
      <c r="C16" s="4" t="s">
        <v>339</v>
      </c>
      <c r="D16" s="4" t="s">
        <v>337</v>
      </c>
    </row>
    <row r="17" spans="1:4">
      <c r="A17" s="4" t="s">
        <v>335</v>
      </c>
      <c r="B17" s="4" t="s">
        <v>23</v>
      </c>
      <c r="C17" s="4" t="s">
        <v>340</v>
      </c>
      <c r="D17" s="4" t="s">
        <v>337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UAT Summary</vt:lpstr>
      <vt:lpstr>Test Cases</vt:lpstr>
      <vt:lpstr>Defect Log</vt:lpstr>
      <vt:lpstr>Signoff</vt:lpstr>
      <vt:lpstr>Reference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 McDermott</cp:lastModifiedBy>
  <dcterms:modified xsi:type="dcterms:W3CDTF">2026-08-17T18:13:36Z</dcterms:modified>
</cp:coreProperties>
</file>