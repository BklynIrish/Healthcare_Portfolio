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80a395b17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uration Summary" sheetId="1" r:id="Rc98975f767b24235"/>
    <x:sheet xmlns:r="http://schemas.openxmlformats.org/officeDocument/2006/relationships" name="Status Model" sheetId="2" r:id="R1c1a9eebc26e4ea6"/>
    <x:sheet xmlns:r="http://schemas.openxmlformats.org/officeDocument/2006/relationships" name="Queues" sheetId="3" r:id="R00a8b3377b234131"/>
    <x:sheet xmlns:r="http://schemas.openxmlformats.org/officeDocument/2006/relationships" name="SLA Rules" sheetId="4" r:id="R21e2e3303c6f4a27"/>
    <x:sheet xmlns:r="http://schemas.openxmlformats.org/officeDocument/2006/relationships" name="Transitions" sheetId="5" r:id="R4b9f66a25782461c"/>
    <x:sheet xmlns:r="http://schemas.openxmlformats.org/officeDocument/2006/relationships" name="Outreach Values" sheetId="6" r:id="R81543071ffd443f7"/>
    <x:sheet xmlns:r="http://schemas.openxmlformats.org/officeDocument/2006/relationships" name="Closure Reasons" sheetId="7" r:id="R02dbdd2772a5474f"/>
    <x:sheet xmlns:r="http://schemas.openxmlformats.org/officeDocument/2006/relationships" name="Roles Permissions" sheetId="8" r:id="R618676362e80429d"/>
    <x:sheet xmlns:r="http://schemas.openxmlformats.org/officeDocument/2006/relationships" name="Validation Rules" sheetId="9" r:id="Rd2193f0d4f0f4386"/>
    <x:sheet xmlns:r="http://schemas.openxmlformats.org/officeDocument/2006/relationships" name="Decision Log" sheetId="10" r:id="Re7f6564186f747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442"/>
      <x:name val="Carlito"/>
    </x:font>
    <x:font>
      <x:b/>
      <x:sz val="11"/>
      <x:color rgb="FFFFFFFF"/>
      <x:name val="Carlito"/>
    </x:font>
    <x:font>
      <x:sz val="10"/>
      <x:color rgb="FF243442"/>
      <x:name val="Carlito"/>
    </x:font>
    <x:font>
      <x:b/>
      <x:sz val="12"/>
      <x:color rgb="FFFFFFFF"/>
      <x:name val="Carlito"/>
    </x:font>
    <x:font>
      <x:b/>
      <x:sz val="11"/>
      <x:color rgb="FF243442"/>
      <x:name val="Carlito"/>
    </x:font>
    <x:font>
      <x:b/>
      <x:sz val="18"/>
      <x:color rgb="FF16324F"/>
      <x:name val="Carlito"/>
    </x:font>
    <x:font>
      <x:sz val="11"/>
      <x:color rgb="FF243442"/>
      <x:name val="Carlito"/>
    </x:font>
    <x:font>
      <x:i/>
      <x:sz val="11"/>
      <x:color rgb="FF6B51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167D7F"/>
      </x:patternFill>
    </x:fill>
    <x:fill>
      <x:patternFill patternType="solid">
        <x:fgColor rgb="FFE8EDF2"/>
      </x:patternFill>
    </x:fill>
    <x:fill>
      <x:patternFill patternType="solid">
        <x:fgColor rgb="FFDDF2F1"/>
      </x:patternFill>
    </x:fill>
    <x:fill>
      <x:patternFill patternType="solid">
        <x:fgColor rgb="FFDDF2E3"/>
      </x:patternFill>
    </x:fill>
    <x:fill>
      <x:patternFill patternType="solid">
        <x:fgColor rgb="FFFFF4CC"/>
      </x:patternFill>
    </x:fill>
    <x:fill>
      <x:patternFill patternType="solid">
        <x:fgColor rgb="FFFBE2E2"/>
      </x:patternFill>
    </x:fill>
    <x:fill>
      <x:patternFill patternType="solid">
        <x:fgColor rgb="FFF7F9FB"/>
      </x:patternFill>
    </x:fill>
  </x:fills>
  <x:borders count="18">
    <x:border/>
    <x:border>
      <x:left style="thin">
        <x:color rgb="FFC6D0D9"/>
      </x:left>
      <x:top style="thin">
        <x:color rgb="FFC6D0D9"/>
      </x:top>
      <x:bottom style="thin">
        <x:color rgb="FFC6D0D9"/>
      </x:bottom>
    </x:border>
    <x:border>
      <x:top style="thin">
        <x:color rgb="FFC6D0D9"/>
      </x:top>
      <x:bottom style="thin">
        <x:color rgb="FFC6D0D9"/>
      </x:bottom>
    </x:border>
    <x:border>
      <x:right style="thin">
        <x:color rgb="FFC6D0D9"/>
      </x:right>
      <x:top style="thin">
        <x:color rgb="FFC6D0D9"/>
      </x:top>
      <x:bottom style="thin">
        <x:color rgb="FFC6D0D9"/>
      </x:bottom>
    </x:border>
    <x:border>
      <x:right style="thin">
        <x:color rgb="FFC6D0D9"/>
      </x:right>
      <x:bottom style="thin">
        <x:color rgb="FFC6D0D9"/>
      </x:bottom>
    </x:border>
    <x:border>
      <x:left style="thin">
        <x:color rgb="FFC6D0D9"/>
      </x:left>
      <x:right style="thin">
        <x:color rgb="FFC6D0D9"/>
      </x:right>
      <x:bottom style="thin">
        <x:color rgb="FFC6D0D9"/>
      </x:bottom>
    </x:border>
    <x:border>
      <x:left style="thin">
        <x:color rgb="FFC6D0D9"/>
      </x:left>
      <x:bottom style="thin">
        <x:color rgb="FFC6D0D9"/>
      </x:bottom>
    </x:border>
    <x:border>
      <x:left style="thin">
        <x:color rgb="FFC6D0D9"/>
      </x:left>
      <x:right style="thin">
        <x:color rgb="FFC6D0D9"/>
      </x:right>
      <x:top style="thin">
        <x:color rgb="FFC6D0D9"/>
      </x:top>
      <x:bottom style="thin">
        <x:color rgb="FFC6D0D9"/>
      </x:bottom>
    </x:border>
    <x:border>
      <x:right style="thin">
        <x:color rgb="FFC6D0D9"/>
      </x:right>
      <x:top style="thin">
        <x:color rgb="FFC6D0D9"/>
      </x:top>
    </x:border>
    <x:border>
      <x:left style="thin">
        <x:color rgb="FFC6D0D9"/>
      </x:left>
      <x:right style="thin">
        <x:color rgb="FFC6D0D9"/>
      </x:right>
      <x:top style="thin">
        <x:color rgb="FFC6D0D9"/>
      </x:top>
    </x:border>
    <x:border>
      <x:left style="thin">
        <x:color rgb="FFC6D0D9"/>
      </x:left>
      <x:top style="thin">
        <x:color rgb="FFC6D0D9"/>
      </x:top>
    </x:border>
    <x:border>
      <x:top style="thin">
        <x:color rgb="FFC6D0D9"/>
      </x:top>
    </x:border>
    <x:border>
      <x:left style="thin">
        <x:color rgb="FFC6D0D9"/>
      </x:left>
    </x:border>
    <x:border>
      <x:right style="thin">
        <x:color rgb="FFC6D0D9"/>
      </x:right>
    </x:border>
    <x:border>
      <x:bottom style="thin">
        <x:color rgb="FFC6D0D9"/>
      </x:bottom>
    </x:border>
    <x:border>
      <x:left style="thin">
        <x:color rgb="FFE6A23C"/>
      </x:left>
      <x:top style="thin">
        <x:color rgb="FFE6A23C"/>
      </x:top>
      <x:bottom style="thin">
        <x:color rgb="FFE6A23C"/>
      </x:bottom>
    </x:border>
    <x:border>
      <x:top style="thin">
        <x:color rgb="FFE6A23C"/>
      </x:top>
      <x:bottom style="thin">
        <x:color rgb="FFE6A23C"/>
      </x:bottom>
    </x:border>
    <x:border>
      <x:right style="thin">
        <x:color rgb="FFE6A23C"/>
      </x:right>
      <x:top style="thin">
        <x:color rgb="FFE6A23C"/>
      </x:top>
      <x:bottom style="thin">
        <x:color rgb="FFE6A23C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200" fontId="7" fillId="6" borderId="1" xfId="0" applyNumberFormat="1" applyFont="1" applyFill="1" applyBorder="1"/>
    <x:xf numFmtId="200" fontId="7" fillId="6" borderId="2" xfId="0" applyNumberFormat="1" applyFont="1" applyFill="1" applyBorder="1"/>
    <x:xf numFmtId="200" fontId="7" fillId="6" borderId="3" xfId="0" applyNumberFormat="1" applyFont="1" applyFill="1" applyBorder="1"/>
    <x:xf numFmtId="200" fontId="7" fillId="6" borderId="1" xfId="0" applyNumberFormat="1" applyFont="1" applyFill="1" applyBorder="1" applyAlignment="1">
      <x:alignment horizontal="center"/>
    </x:xf>
    <x:xf numFmtId="200" fontId="7" fillId="6" borderId="2" xfId="0" applyNumberFormat="1" applyFont="1" applyFill="1" applyBorder="1" applyAlignment="1">
      <x:alignment horizontal="center"/>
    </x:xf>
    <x:xf numFmtId="200" fontId="7" fillId="6" borderId="3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0" fillId="0" borderId="3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9" borderId="8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10" xfId="0" applyNumberFormat="1" applyFont="1" applyFill="1" applyBorder="1"/>
    <x:xf numFmtId="0" fontId="8" fillId="10" borderId="11" xfId="0" applyNumberFormat="1" applyFont="1" applyFill="1" applyBorder="1"/>
    <x:xf numFmtId="0" fontId="8" fillId="10" borderId="8" xfId="0" applyNumberFormat="1" applyFont="1" applyFill="1" applyBorder="1"/>
    <x:xf numFmtId="0" fontId="8" fillId="10" borderId="12" xfId="0" applyNumberFormat="1" applyFont="1" applyFill="1" applyBorder="1"/>
    <x:xf numFmtId="0" fontId="8" fillId="10" borderId="13" xfId="0" applyNumberFormat="1" applyFont="1" applyFill="1" applyBorder="1"/>
    <x:xf numFmtId="0" fontId="8" fillId="10" borderId="6" xfId="0" applyNumberFormat="1" applyFont="1" applyFill="1" applyBorder="1"/>
    <x:xf numFmtId="0" fontId="8" fillId="10" borderId="14" xfId="0" applyNumberFormat="1" applyFont="1" applyFill="1" applyBorder="1"/>
    <x:xf numFmtId="0" fontId="8" fillId="10" borderId="4" xfId="0" applyNumberFormat="1" applyFont="1" applyFill="1" applyBorder="1"/>
    <x:xf numFmtId="0" fontId="8" fillId="10" borderId="10" xfId="0" applyNumberFormat="1" applyFont="1" applyFill="1" applyBorder="1" applyAlignment="1">
      <x:alignment wrapText="1"/>
    </x:xf>
    <x:xf numFmtId="0" fontId="8" fillId="10" borderId="11" xfId="0" applyNumberFormat="1" applyFont="1" applyFill="1" applyBorder="1" applyAlignment="1">
      <x:alignment wrapText="1"/>
    </x:xf>
    <x:xf numFmtId="0" fontId="8" fillId="10" borderId="8" xfId="0" applyNumberFormat="1" applyFont="1" applyFill="1" applyBorder="1" applyAlignment="1">
      <x:alignment wrapText="1"/>
    </x:xf>
    <x:xf numFmtId="0" fontId="8" fillId="10" borderId="12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wrapText="1"/>
    </x:xf>
    <x:xf numFmtId="0" fontId="8" fillId="10" borderId="13" xfId="0" applyNumberFormat="1" applyFont="1" applyFill="1" applyBorder="1" applyAlignment="1">
      <x:alignment wrapText="1"/>
    </x:xf>
    <x:xf numFmtId="0" fontId="8" fillId="10" borderId="6" xfId="0" applyNumberFormat="1" applyFont="1" applyFill="1" applyBorder="1" applyAlignment="1">
      <x:alignment wrapText="1"/>
    </x:xf>
    <x:xf numFmtId="0" fontId="8" fillId="10" borderId="14" xfId="0" applyNumberFormat="1" applyFont="1" applyFill="1" applyBorder="1" applyAlignment="1">
      <x:alignment wrapText="1"/>
    </x:xf>
    <x:xf numFmtId="0" fontId="8" fillId="10" borderId="4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15" xfId="0" applyNumberFormat="1" applyFont="1" applyFill="1" applyBorder="1"/>
    <x:xf numFmtId="0" fontId="9" fillId="8" borderId="16" xfId="0" applyNumberFormat="1" applyFont="1" applyFill="1" applyBorder="1"/>
    <x:xf numFmtId="0" fontId="9" fillId="8" borderId="17" xfId="0" applyNumberFormat="1" applyFont="1" applyFill="1" applyBorder="1"/>
    <x:xf numFmtId="0" fontId="9" fillId="8" borderId="15" xfId="0" applyNumberFormat="1" applyFont="1" applyFill="1" applyBorder="1" applyAlignment="1">
      <x:alignment wrapText="1"/>
    </x:xf>
    <x:xf numFmtId="0" fontId="9" fillId="8" borderId="16" xfId="0" applyNumberFormat="1" applyFont="1" applyFill="1" applyBorder="1" applyAlignment="1">
      <x:alignment wrapText="1"/>
    </x:xf>
    <x:xf numFmtId="0" fontId="9" fillId="8" borderId="17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7">
    <x:dxf>
      <x:font>
        <x:b/>
        <x:color rgb="FF176B38"/>
      </x:font>
      <x:fill>
        <x:patternFill patternType="solid">
          <x:bgColor rgb="FFDDF2E3"/>
        </x:patternFill>
      </x:fill>
    </x:dxf>
    <x:dxf>
      <x:font>
        <x:color rgb="FF7A5600"/>
      </x:font>
      <x:fill>
        <x:patternFill patternType="solid">
          <x:bgColor rgb="FFFFF4CC"/>
        </x:patternFill>
      </x:fill>
    </x:dxf>
    <x:dxf>
      <x:font>
        <x:color rgb="FF596773"/>
      </x:font>
      <x:fill>
        <x:patternFill patternType="solid">
          <x:bgColor rgb="FFE8EDF2"/>
        </x:patternFill>
      </x:fill>
    </x:dxf>
    <x:dxf>
      <x:font>
        <x:b/>
        <x:color rgb="FF176B38"/>
      </x:font>
      <x:fill>
        <x:patternFill patternType="solid">
          <x:bgColor rgb="FFDDF2E3"/>
        </x:patternFill>
      </x:fill>
    </x:dxf>
    <x:dxf>
      <x:font>
        <x:color rgb="FF7A5600"/>
      </x:font>
      <x:fill>
        <x:patternFill patternType="solid">
          <x:bgColor rgb="FFFFF4CC"/>
        </x:patternFill>
      </x:fill>
    </x:dxf>
    <x:dxf>
      <x:font>
        <x:color rgb="FF596773"/>
      </x:font>
      <x:fill>
        <x:patternFill patternType="solid">
          <x:bgColor rgb="FFE8EDF2"/>
        </x:patternFill>
      </x:fill>
    </x:dxf>
    <x:dxf>
      <x:font>
        <x:b/>
        <x:color rgb="FF176B38"/>
      </x:font>
      <x:fill>
        <x:patternFill patternType="solid">
          <x:bgColor rgb="FFDDF2E3"/>
        </x:patternFill>
      </x:fill>
    </x:dxf>
    <x:dxf>
      <x:font>
        <x:color rgb="FF7A5600"/>
      </x:font>
      <x:fill>
        <x:patternFill patternType="solid">
          <x:bgColor rgb="FFFFF4CC"/>
        </x:patternFill>
      </x:fill>
    </x:dxf>
    <x:dxf>
      <x:font>
        <x:color rgb="FF596773"/>
      </x:font>
      <x:fill>
        <x:patternFill patternType="solid">
          <x:bgColor rgb="FFE8EDF2"/>
        </x:patternFill>
      </x:fill>
    </x:dxf>
    <x:dxf>
      <x:font>
        <x:b/>
        <x:color rgb="FF176B38"/>
      </x:font>
      <x:fill>
        <x:patternFill patternType="solid">
          <x:bgColor rgb="FFDDF2E3"/>
        </x:patternFill>
      </x:fill>
    </x:dxf>
    <x:dxf>
      <x:font>
        <x:color rgb="FF7A5600"/>
      </x:font>
      <x:fill>
        <x:patternFill patternType="solid">
          <x:bgColor rgb="FFFFF4CC"/>
        </x:patternFill>
      </x:fill>
    </x:dxf>
    <x:dxf>
      <x:font>
        <x:color rgb="FF596773"/>
      </x:font>
      <x:fill>
        <x:patternFill patternType="solid">
          <x:bgColor rgb="FFE8EDF2"/>
        </x:patternFill>
      </x:fill>
    </x:dxf>
    <x:dxf>
      <x:font>
        <x:b/>
        <x:color rgb="FF176B38"/>
      </x:font>
      <x:fill>
        <x:patternFill patternType="solid">
          <x:bgColor rgb="FFDDF2E3"/>
        </x:patternFill>
      </x:fill>
    </x:dxf>
    <x:dxf>
      <x:font>
        <x:color rgb="FF7A5600"/>
      </x:font>
      <x:fill>
        <x:patternFill patternType="solid">
          <x:bgColor rgb="FFFFF4CC"/>
        </x:patternFill>
      </x:fill>
    </x:dxf>
    <x:dxf>
      <x:font>
        <x:color rgb="FF596773"/>
      </x:font>
      <x:fill>
        <x:patternFill patternType="solid">
          <x:bgColor rgb="FFE8EDF2"/>
        </x:patternFill>
      </x:fill>
    </x:dxf>
    <x:dxf>
      <x:font>
        <x:b/>
        <x:color rgb="FF176B38"/>
      </x:font>
      <x:fill>
        <x:patternFill patternType="solid">
          <x:bgColor rgb="FFDDF2E3"/>
        </x:patternFill>
      </x:fill>
    </x:dxf>
    <x:dxf>
      <x:font>
        <x:color rgb="FF7A5600"/>
      </x:font>
      <x:fill>
        <x:patternFill patternType="solid">
          <x:bgColor rgb="FFFFF4CC"/>
        </x:patternFill>
      </x:fill>
    </x:dxf>
    <x:dxf>
      <x:font>
        <x:color rgb="FF596773"/>
      </x:font>
      <x:fill>
        <x:patternFill patternType="solid">
          <x:bgColor rgb="FFE8EDF2"/>
        </x:patternFill>
      </x:fill>
    </x:dxf>
    <x:dxf>
      <x:font>
        <x:b/>
        <x:color rgb="FF176B38"/>
      </x:font>
      <x:fill>
        <x:patternFill patternType="solid">
          <x:bgColor rgb="FFDDF2E3"/>
        </x:patternFill>
      </x:fill>
    </x:dxf>
    <x:dxf>
      <x:font>
        <x:color rgb="FF9B2C2C"/>
      </x:font>
      <x:fill>
        <x:patternFill patternType="solid">
          <x:bgColor rgb="FFFBE2E2"/>
        </x:patternFill>
      </x:fill>
    </x:dxf>
    <x:dxf>
      <x:font>
        <x:b/>
        <x:color rgb="FF176B38"/>
      </x:font>
      <x:fill>
        <x:patternFill patternType="solid">
          <x:bgColor rgb="FFDDF2E3"/>
        </x:patternFill>
      </x:fill>
    </x:dxf>
    <x:dxf>
      <x:font>
        <x:color rgb="FF7A5600"/>
      </x:font>
      <x:fill>
        <x:patternFill patternType="solid">
          <x:bgColor rgb="FFFFF4CC"/>
        </x:patternFill>
      </x:fill>
    </x:dxf>
    <x:dxf>
      <x:font>
        <x:color rgb="FF596773"/>
      </x:font>
      <x:fill>
        <x:patternFill patternType="solid">
          <x:bgColor rgb="FFE8EDF2"/>
        </x:patternFill>
      </x:fill>
    </x:dxf>
    <x:dxf>
      <x:font>
        <x:b/>
        <x:color rgb="FF176B38"/>
      </x:font>
      <x:fill>
        <x:patternFill patternType="solid">
          <x:bgColor rgb="FFDDF2E3"/>
        </x:patternFill>
      </x:fill>
    </x:dxf>
    <x:dxf>
      <x:font>
        <x:color rgb="FF7A5600"/>
      </x:font>
      <x:fill>
        <x:patternFill patternType="solid">
          <x:bgColor rgb="FFFFF4CC"/>
        </x:patternFill>
      </x:fill>
    </x:dxf>
    <x:dxf>
      <x:font>
        <x:color rgb="FF596773"/>
      </x:font>
      <x:fill>
        <x:patternFill patternType="solid">
          <x:bgColor rgb="FFE8EDF2"/>
        </x:patternFill>
      </x:fill>
    </x:dxf>
    <x:dxf>
      <x:font>
        <x:b/>
        <x:color rgb="FF176B38"/>
      </x:font>
      <x:fill>
        <x:patternFill patternType="solid">
          <x:bgColor rgb="FFDDF2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be38cb7fe4b7e" /><Relationship Type="http://schemas.openxmlformats.org/officeDocument/2006/relationships/theme" Target="/xl/theme/theme1.xml" Id="R25907fd27fc84720" /><Relationship Type="http://schemas.openxmlformats.org/officeDocument/2006/relationships/sharedStrings" Target="/xl/sharedStrings.xml" Id="R83a81005de6746dd" /><Relationship Type="http://schemas.openxmlformats.org/officeDocument/2006/relationships/worksheet" Target="/xl/worksheets/sheet1.xml" Id="Rc98975f767b24235" /><Relationship Type="http://schemas.openxmlformats.org/officeDocument/2006/relationships/worksheet" Target="/xl/worksheets/sheet2.xml" Id="R1c1a9eebc26e4ea6" /><Relationship Type="http://schemas.openxmlformats.org/officeDocument/2006/relationships/worksheet" Target="/xl/worksheets/sheet3.xml" Id="R00a8b3377b234131" /><Relationship Type="http://schemas.openxmlformats.org/officeDocument/2006/relationships/worksheet" Target="/xl/worksheets/sheet4.xml" Id="R21e2e3303c6f4a27" /><Relationship Type="http://schemas.openxmlformats.org/officeDocument/2006/relationships/worksheet" Target="/xl/worksheets/sheet5.xml" Id="R4b9f66a25782461c" /><Relationship Type="http://schemas.openxmlformats.org/officeDocument/2006/relationships/worksheet" Target="/xl/worksheets/sheet6.xml" Id="R81543071ffd443f7" /><Relationship Type="http://schemas.openxmlformats.org/officeDocument/2006/relationships/worksheet" Target="/xl/worksheets/sheet7.xml" Id="R02dbdd2772a5474f" /><Relationship Type="http://schemas.openxmlformats.org/officeDocument/2006/relationships/worksheet" Target="/xl/worksheets/sheet8.xml" Id="R618676362e80429d" /><Relationship Type="http://schemas.openxmlformats.org/officeDocument/2006/relationships/worksheet" Target="/xl/worksheets/sheet9.xml" Id="Rd2193f0d4f0f4386" /><Relationship Type="http://schemas.openxmlformats.org/officeDocument/2006/relationships/worksheet" Target="/xl/worksheets/sheet10.xml" Id="Re7f6564186f747d8" /></Relationships>
</file>

<file path=xl/tables/table1.xml><?xml version="1.0" encoding="utf-8"?>
<x:table xmlns:x="http://schemas.openxmlformats.org/spreadsheetml/2006/main" id="1" name="StatusModelTable" displayName="StatusModelTable" ref="A4:L13" headerRowCount="1" totalsRowCount="0" totalsRowShown="0">
  <x:autoFilter ref="A4:L13"/>
  <x:tableColumns count="12">
    <x:tableColumn id="1" name="Status ID"/>
    <x:tableColumn id="2" name="Status Name"/>
    <x:tableColumn id="3" name="Lifecycle Stage"/>
    <x:tableColumn id="4" name="Terminal?"/>
    <x:tableColumn id="5" name="Active?"/>
    <x:tableColumn id="6" name="Entry Criteria"/>
    <x:tableColumn id="7" name="Exit Criteria"/>
    <x:tableColumn id="8" name="Default Queue"/>
    <x:tableColumn id="9" name="Owner Role"/>
    <x:tableColumn id="10" name="Closure Category"/>
    <x:tableColumn id="11" name="Display Order"/>
    <x:tableColumn id="12" name="Config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ueTable" displayName="QueueTable" ref="A4:I13" headerRowCount="1" totalsRowCount="0" totalsRowShown="0">
  <x:autoFilter ref="A4:I13"/>
  <x:tableColumns count="9">
    <x:tableColumn id="1" name="Queue ID"/>
    <x:tableColumn id="2" name="Queue Name"/>
    <x:tableColumn id="3" name="Purpose"/>
    <x:tableColumn id="4" name="Inclusion Logic"/>
    <x:tableColumn id="5" name="Default Sort"/>
    <x:tableColumn id="6" name="Owner Role"/>
    <x:tableColumn id="7" name="SLA Source"/>
    <x:tableColumn id="8" name="Active?"/>
    <x:tableColumn id="9" name="Config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laRulesTable" displayName="SlaRulesTable" ref="A4:I16" headerRowCount="1" totalsRowCount="0" totalsRowShown="0">
  <x:autoFilter ref="A4:I16"/>
  <x:tableColumns count="9">
    <x:tableColumn id="1" name="Rule ID"/>
    <x:tableColumn id="2" name="Workflow Stage"/>
    <x:tableColumn id="3" name="Priority"/>
    <x:tableColumn id="4" name="Trigger Event"/>
    <x:tableColumn id="5" name="Target Hours"/>
    <x:tableColumn id="6" name="Required Action"/>
    <x:tableColumn id="7" name="Escalation Recipient"/>
    <x:tableColumn id="8" name="Clock Type"/>
    <x:tableColumn id="9" name="Config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nsitionTable" displayName="TransitionTable" ref="A4:H23" headerRowCount="1" totalsRowCount="0" totalsRowShown="0">
  <x:autoFilter ref="A4:H23"/>
  <x:tableColumns count="8">
    <x:tableColumn id="1" name="Transition ID"/>
    <x:tableColumn id="2" name="From Status"/>
    <x:tableColumn id="3" name="To Status"/>
    <x:tableColumn id="4" name="Trigger / Condition"/>
    <x:tableColumn id="5" name="Required Fields"/>
    <x:tableColumn id="6" name="Authorized Role"/>
    <x:tableColumn id="7" name="Audit Reason Required?"/>
    <x:tableColumn id="8" name="Config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utreachTable" displayName="OutreachTable" ref="A4:H13" headerRowCount="1" totalsRowCount="0" totalsRowShown="0">
  <x:autoFilter ref="A4:H13"/>
  <x:tableColumns count="8">
    <x:tableColumn id="1" name="Outcome ID"/>
    <x:tableColumn id="2" name="Outcome Name"/>
    <x:tableColumn id="3" name="Definition"/>
    <x:tableColumn id="4" name="Potentially Terminal?"/>
    <x:tableColumn id="5" name="Next Action Required?"/>
    <x:tableColumn id="6" name="Default Next Action Hours"/>
    <x:tableColumn id="7" name="Escalation?"/>
    <x:tableColumn id="8" name="Config 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losureTable" displayName="ClosureTable" ref="A4:H14" headerRowCount="1" totalsRowCount="0" totalsRowShown="0">
  <x:autoFilter ref="A4:H14"/>
  <x:tableColumns count="8">
    <x:tableColumn id="1" name="Reason ID"/>
    <x:tableColumn id="2" name="Closure Category"/>
    <x:tableColumn id="3" name="Closure Reason"/>
    <x:tableColumn id="4" name="Allowed Final Status"/>
    <x:tableColumn id="5" name="Clinician Approval?"/>
    <x:tableColumn id="6" name="Manager Approval?"/>
    <x:tableColumn id="7" name="Required Documentation"/>
    <x:tableColumn id="8" name="Config 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olesTable" displayName="RolesTable" ref="A4:K13" headerRowCount="1" totalsRowCount="0" totalsRowShown="0">
  <x:autoFilter ref="A4:K13"/>
  <x:tableColumns count="11">
    <x:tableColumn id="1" name="Role"/>
    <x:tableColumn id="2" name="View Referrals"/>
    <x:tableColumn id="3" name="Update Outreach"/>
    <x:tableColumn id="4" name="Update Scheduling"/>
    <x:tableColumn id="5" name="Change Priority"/>
    <x:tableColumn id="6" name="Reassign Work"/>
    <x:tableColumn id="7" name="Review Reports"/>
    <x:tableColumn id="8" name="Configure Rules"/>
    <x:tableColumn id="9" name="Resolve Exceptions"/>
    <x:tableColumn id="10" name="Aggregate Analytics"/>
    <x:tableColumn id="11" name="Audit Histor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alidationTable" displayName="ValidationTable" ref="A4:I24" headerRowCount="1" totalsRowCount="0" totalsRowShown="0">
  <x:autoFilter ref="A4:I24"/>
  <x:tableColumns count="9">
    <x:tableColumn id="1" name="Rule ID"/>
    <x:tableColumn id="2" name="Rule Definition"/>
    <x:tableColumn id="3" name="Domain"/>
    <x:tableColumn id="4" name="Severity"/>
    <x:tableColumn id="5" name="Enforcement"/>
    <x:tableColumn id="6" name="Workflow Effect"/>
    <x:tableColumn id="7" name="Owner"/>
    <x:tableColumn id="8" name="Evidence"/>
    <x:tableColumn id="9" name="Config 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cisionTable" displayName="DecisionTable" ref="A4:G12" headerRowCount="1" totalsRowCount="0" totalsRowShown="0">
  <x:autoFilter ref="A4:G12"/>
  <x:tableColumns count="7">
    <x:tableColumn id="1" name="Decision ID"/>
    <x:tableColumn id="2" name="Decision Date"/>
    <x:tableColumn id="3" name="Decision"/>
    <x:tableColumn id="4" name="Rationale"/>
    <x:tableColumn id="5" name="Owner"/>
    <x:tableColumn id="6" name="Affected Artifacts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afb72b68ae40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d978cd436a46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d1124b59db48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0c0a1979d04c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fcccada98241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72b2601fe74b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c65613195f4a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5ef15c4420418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ff06726eb814d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31" hidden="0" customWidth="1"/>
    <x:col min="4" max="4" width="18" hidden="0" customWidth="1"/>
    <x:col min="5" max="5" width="18" hidden="0" customWidth="1"/>
    <x:col min="6" max="6" width="18" hidden="0" customWidth="1"/>
    <x:col min="7" max="7" width="23" hidden="0" customWidth="1"/>
    <x:col min="8" max="8" width="23" hidden="0" customWidth="1"/>
  </x:cols>
  <x:sheetData>
    <x:row r="1" ht="32" customHeight="1">
      <x:c r="A1" s="3" t="str">
        <x:v>Configuration Summary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Closed-loop referral management SaaS configuration baseline | Portfolio implementation artifact</x:v>
      </x:c>
      <x:c r="B2" s="7"/>
      <x:c r="C2" s="7"/>
      <x:c r="D2" s="7"/>
      <x:c r="E2" s="7"/>
      <x:c r="F2" s="7"/>
      <x:c r="G2" s="7"/>
      <x:c r="H2" s="7"/>
    </x:row>
    <x:row r="4" ht="25" customHeight="1">
      <x:c r="A4" s="17" t="str">
        <x:v>Configuration Readiness</x:v>
      </x:c>
      <x:c r="B4" s="17"/>
      <x:c r="C4" s="17"/>
      <x:c r="D4" s="17"/>
      <x:c r="E4" s="17"/>
      <x:c r="F4" s="17"/>
      <x:c r="G4" s="17"/>
      <x:c r="H4" s="17"/>
    </x:row>
    <x:row r="6" ht="28" customHeight="1">
      <x:c r="A6" s="21" t="str">
        <x:v>Statuses</x:v>
      </x:c>
      <x:c r="B6" s="21" t="str">
        <x:v>Queues</x:v>
      </x:c>
      <x:c r="C6" s="21" t="str">
        <x:v>SLA Rules</x:v>
      </x:c>
      <x:c r="D6" s="21" t="str">
        <x:v>Transitions</x:v>
      </x:c>
      <x:c r="E6" s="21" t="str">
        <x:v>Outcomes</x:v>
      </x:c>
      <x:c r="F6" s="21" t="str">
        <x:v>Closure Reasons</x:v>
      </x:c>
      <x:c r="G6" s="21" t="str">
        <x:v>Roles</x:v>
      </x:c>
      <x:c r="H6" s="21" t="str">
        <x:v>Validation Rules</x:v>
      </x:c>
    </x:row>
    <x:row r="7" ht="34" customHeight="1">
      <x:c r="A7" s="30" t="n">
        <x:f>COUNTA('Status Model'!$A$5:$A$13)</x:f>
        <x:v>9</x:v>
      </x:c>
      <x:c r="B7" s="31" t="n">
        <x:f>COUNTA('Queues'!$A$5:$A$13)</x:f>
        <x:v>9</x:v>
      </x:c>
      <x:c r="C7" s="31" t="n">
        <x:f>COUNTA('SLA Rules'!$A$5:$A$16)</x:f>
        <x:v>12</x:v>
      </x:c>
      <x:c r="D7" s="31" t="n">
        <x:f>COUNTA('Transitions'!$A$5:$A$23)</x:f>
        <x:v>19</x:v>
      </x:c>
      <x:c r="E7" s="31" t="n">
        <x:f>COUNTA('Outreach Values'!$A$5:$A$13)</x:f>
        <x:v>9</x:v>
      </x:c>
      <x:c r="F7" s="31" t="n">
        <x:f>COUNTA('Closure Reasons'!$A$5:$A$14)</x:f>
        <x:v>10</x:v>
      </x:c>
      <x:c r="G7" s="31" t="n">
        <x:f>COUNTA('Roles Permissions'!$A$5:$A$13)</x:f>
        <x:v>9</x:v>
      </x:c>
      <x:c r="H7" s="32" t="n">
        <x:f>COUNTA('Validation Rules'!$A$5:$A$24)</x:f>
        <x:v>20</x:v>
      </x:c>
    </x:row>
    <x:row r="9">
      <x:c r="A9" s="9" t="str">
        <x:v>Readiness Checks</x:v>
      </x:c>
      <x:c r="B9" s="9"/>
      <x:c r="C9" s="9"/>
      <x:c r="D9" s="9"/>
      <x:c r="F9" s="9" t="str">
        <x:v>Color Legend</x:v>
      </x:c>
      <x:c r="G9" s="9"/>
      <x:c r="H9" s="9"/>
    </x:row>
    <x:row r="10">
      <x:c r="A10" s="34" t="str">
        <x:v>Check</x:v>
      </x:c>
      <x:c r="B10" s="35" t="str">
        <x:v>Expected</x:v>
      </x:c>
      <x:c r="C10" s="35" t="str">
        <x:v>Purpose</x:v>
      </x:c>
      <x:c r="D10" s="36" t="str">
        <x:v>Actual</x:v>
      </x:c>
      <x:c r="F10" s="34" t="str">
        <x:v>Color</x:v>
      </x:c>
      <x:c r="G10" s="35" t="str">
        <x:v>Meaning</x:v>
      </x:c>
      <x:c r="H10" s="36" t="str">
        <x:v>Use</x:v>
      </x:c>
    </x:row>
    <x:row r="11" ht="28" customHeight="1">
      <x:c r="A11" s="43" t="str">
        <x:v>Lifecycle has terminal states</x:v>
      </x:c>
      <x:c r="B11" s="49" t="n">
        <x:v>3</x:v>
      </x:c>
      <x:c r="C11" s="44" t="str">
        <x:v>Completed, noncompleted, and cancelled closure paths</x:v>
      </x:c>
      <x:c r="D11" s="51" t="n">
        <x:f>COUNTIF('Status Model'!$D$5:$D$13,"Yes")</x:f>
        <x:v>3</x:v>
      </x:c>
      <x:c r="F11" s="57" t="str">
        <x:v>Green</x:v>
      </x:c>
      <x:c r="G11" s="44" t="str">
        <x:v>Approved / matched</x:v>
      </x:c>
      <x:c r="H11" s="45" t="str">
        <x:v>Ready for implementation</x:v>
      </x:c>
    </x:row>
    <x:row r="12" ht="28" customHeight="1">
      <x:c r="A12" s="43" t="str">
        <x:v>Urgent SLA rules</x:v>
      </x:c>
      <x:c r="B12" s="49" t="n">
        <x:v>6</x:v>
      </x:c>
      <x:c r="C12" s="44" t="str">
        <x:v>Faster service levels for urgent work</x:v>
      </x:c>
      <x:c r="D12" s="51" t="n">
        <x:f>COUNTIF('SLA Rules'!$C$5:$C$16,"Urgent")</x:f>
        <x:v>6</x:v>
      </x:c>
      <x:c r="F12" s="58" t="str">
        <x:v>Yellow</x:v>
      </x:c>
      <x:c r="G12" s="44" t="str">
        <x:v>Proposed / editable</x:v>
      </x:c>
      <x:c r="H12" s="45" t="str">
        <x:v>Requires stakeholder decision</x:v>
      </x:c>
    </x:row>
    <x:row r="13" ht="28" customHeight="1">
      <x:c r="A13" s="43" t="str">
        <x:v>Manager-approved closure reasons</x:v>
      </x:c>
      <x:c r="B13" s="49" t="n">
        <x:v>6</x:v>
      </x:c>
      <x:c r="C13" s="44" t="str">
        <x:v>Governance for noncompletion and exceptions</x:v>
      </x:c>
      <x:c r="D13" s="51" t="n">
        <x:f>COUNTIF('Closure Reasons'!$F$5:$F$14,"Yes")</x:f>
        <x:v>6</x:v>
      </x:c>
      <x:c r="F13" s="59" t="str">
        <x:v>Red</x:v>
      </x:c>
      <x:c r="G13" s="47" t="str">
        <x:v>Restricted / exception</x:v>
      </x:c>
      <x:c r="H13" s="48" t="str">
        <x:v>Requires attention or prevents action</x:v>
      </x:c>
    </x:row>
    <x:row r="14" ht="28" customHeight="1">
      <x:c r="A14" s="43" t="str">
        <x:v>Validated SQL controls</x:v>
      </x:c>
      <x:c r="B14" s="49" t="n">
        <x:v>20</x:v>
      </x:c>
      <x:c r="C14" s="44" t="str">
        <x:v>Reconciles to passed data-quality suite</x:v>
      </x:c>
      <x:c r="D14" s="51" t="n">
        <x:f>COUNTA('Validation Rules'!$A$5:$A$24)</x:f>
        <x:v>20</x:v>
      </x:c>
    </x:row>
    <x:row r="15" ht="28" customHeight="1">
      <x:c r="A15" s="46" t="str">
        <x:v>Decision assumptions pending</x:v>
      </x:c>
      <x:c r="B15" s="50" t="n">
        <x:v>1</x:v>
      </x:c>
      <x:c r="C15" s="47" t="str">
        <x:v>Requires stakeholder confirmation</x:v>
      </x:c>
      <x:c r="D15" s="52" t="n">
        <x:f>COUNTIF('Decision Log'!$G$5:$G$12,"Proposed")</x:f>
        <x:v>1</x:v>
      </x:c>
    </x:row>
    <x:row r="17">
      <x:c r="A17" s="9" t="str">
        <x:v>Implementation Use</x:v>
      </x:c>
      <x:c r="B17" s="9"/>
      <x:c r="C17" s="9"/>
      <x:c r="D17" s="9"/>
      <x:c r="E17" s="9"/>
      <x:c r="F17" s="9"/>
      <x:c r="G17" s="9"/>
      <x:c r="H17" s="9"/>
    </x:row>
    <x:row r="18" ht="25" customHeight="1">
      <x:c r="A18" s="70" t="str">
        <x:v>1. Review proposed values with referral operations, clinical leadership, compliance, and Health IT.</x:v>
      </x:c>
      <x:c r="B18" s="71"/>
      <x:c r="C18" s="71"/>
      <x:c r="D18" s="71"/>
      <x:c r="E18" s="71"/>
      <x:c r="F18" s="71"/>
      <x:c r="G18" s="71"/>
      <x:c r="H18" s="72"/>
    </x:row>
    <x:row r="19" ht="25" customHeight="1">
      <x:c r="A19" s="73" t="str">
        <x:v>2. Approve controlled values and SLA calendars before configuring a production SaaS environment.</x:v>
      </x:c>
      <x:c r="B19" s="74"/>
      <x:c r="C19" s="74"/>
      <x:c r="D19" s="74"/>
      <x:c r="E19" s="74"/>
      <x:c r="F19" s="74"/>
      <x:c r="G19" s="74"/>
      <x:c r="H19" s="75"/>
    </x:row>
    <x:row r="20" ht="25" customHeight="1">
      <x:c r="A20" s="73" t="str">
        <x:v>3. Map approved transitions, permissions, and validation rules into build tickets and UAT scenarios.</x:v>
      </x:c>
      <x:c r="B20" s="74"/>
      <x:c r="C20" s="74"/>
      <x:c r="D20" s="74"/>
      <x:c r="E20" s="74"/>
      <x:c r="F20" s="74"/>
      <x:c r="G20" s="74"/>
      <x:c r="H20" s="75"/>
    </x:row>
    <x:row r="21" ht="25" customHeight="1">
      <x:c r="A21" s="76" t="str">
        <x:v>4. Preserve decision evidence and changes in the Decision Log for implementation governance.</x:v>
      </x:c>
      <x:c r="B21" s="77"/>
      <x:c r="C21" s="77"/>
      <x:c r="D21" s="77"/>
      <x:c r="E21" s="77"/>
      <x:c r="F21" s="77"/>
      <x:c r="G21" s="77"/>
      <x:c r="H21" s="78"/>
    </x:row>
    <x:row r="23" ht="34" customHeight="1">
      <x:c r="A23" s="84" t="str">
        <x:v>Scope note: This workbook is a portfolio-ready configuration baseline using synthetic data. It is not a clinical decision-support system and contains no PHI.</x:v>
      </x:c>
      <x:c r="B23" s="85"/>
      <x:c r="C23" s="85"/>
      <x:c r="D23" s="85"/>
      <x:c r="E23" s="85"/>
      <x:c r="F23" s="85"/>
      <x:c r="G23" s="85"/>
      <x:c r="H23" s="86"/>
    </x:row>
  </x:sheetData>
  <x:mergeCells>
    <x:mergeCell ref="A1:H1"/>
    <x:mergeCell ref="A2:H2"/>
    <x:mergeCell ref="A4:H4"/>
    <x:mergeCell ref="A9:D9"/>
    <x:mergeCell ref="F9:H9"/>
    <x:mergeCell ref="A17:H17"/>
    <x:mergeCell ref="A18:H18"/>
    <x:mergeCell ref="A19:H19"/>
    <x:mergeCell ref="A20:H20"/>
    <x:mergeCell ref="A21:H21"/>
    <x:mergeCell ref="A23:H23"/>
  </x:mergeCells>
  <x:conditionalFormatting sqref="D11:D15">
    <x:cfRule type="cellIs" dxfId="26" priority="1" operator="equal">
      <x:formula>B11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1" hidden="0" customWidth="1"/>
    <x:col min="5" max="5" width="10" hidden="0" customWidth="1"/>
    <x:col min="6" max="6" width="33" hidden="0" customWidth="1"/>
    <x:col min="7" max="7" width="33" hidden="0" customWidth="1"/>
    <x:col min="8" max="8" width="25" hidden="0" customWidth="1"/>
    <x:col min="9" max="9" width="23" hidden="0" customWidth="1"/>
    <x:col min="10" max="10" width="20" hidden="0" customWidth="1"/>
    <x:col min="11" max="11" width="12" hidden="0" customWidth="1"/>
    <x:col min="12" max="12" width="15" hidden="0" customWidth="1"/>
  </x:cols>
  <x:sheetData>
    <x:row r="1" ht="32" customHeight="1">
      <x:c r="A1" s="3" t="str">
        <x:v>Status Model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Controlled lifecycle states and the operational conditions for entering and leaving each state.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4" customHeight="1">
      <x:c r="A4" s="11" t="str">
        <x:v>Status ID</x:v>
      </x:c>
      <x:c r="B4" s="11" t="str">
        <x:v>Status Name</x:v>
      </x:c>
      <x:c r="C4" s="11" t="str">
        <x:v>Lifecycle Stage</x:v>
      </x:c>
      <x:c r="D4" s="11" t="str">
        <x:v>Terminal?</x:v>
      </x:c>
      <x:c r="E4" s="11" t="str">
        <x:v>Active?</x:v>
      </x:c>
      <x:c r="F4" s="11" t="str">
        <x:v>Entry Criteria</x:v>
      </x:c>
      <x:c r="G4" s="11" t="str">
        <x:v>Exit Criteria</x:v>
      </x:c>
      <x:c r="H4" s="11" t="str">
        <x:v>Default Queue</x:v>
      </x:c>
      <x:c r="I4" s="11" t="str">
        <x:v>Owner Role</x:v>
      </x:c>
      <x:c r="J4" s="11" t="str">
        <x:v>Closure Category</x:v>
      </x:c>
      <x:c r="K4" s="11" t="str">
        <x:v>Display Order</x:v>
      </x:c>
      <x:c r="L4" s="11" t="str">
        <x:v>Config Status</x:v>
      </x:c>
    </x:row>
    <x:row r="5">
      <x:c r="A5" s="14" t="str">
        <x:v>STS-01</x:v>
      </x:c>
      <x:c r="B5" s="14" t="str">
        <x:v>Received</x:v>
      </x:c>
      <x:c r="C5" s="14" t="str">
        <x:v>Intake</x:v>
      </x:c>
      <x:c r="D5" s="14" t="str">
        <x:v>No</x:v>
      </x:c>
      <x:c r="E5" s="14" t="str">
        <x:v>Yes</x:v>
      </x:c>
      <x:c r="F5" s="14" t="str">
        <x:v>Referral record created</x:v>
      </x:c>
      <x:c r="G5" s="14" t="str">
        <x:v>Validation completed</x:v>
      </x:c>
      <x:c r="H5" s="14" t="str">
        <x:v>New Intake</x:v>
      </x:c>
      <x:c r="I5" s="14" t="str">
        <x:v>Referral Coordinator</x:v>
      </x:c>
      <x:c r="J5" s="14" t="str"/>
      <x:c r="K5" s="14" t="str">
        <x:v>10</x:v>
      </x:c>
      <x:c r="L5" s="87" t="str">
        <x:v>Approved</x:v>
      </x:c>
    </x:row>
    <x:row r="6">
      <x:c r="A6" s="14" t="str">
        <x:v>STS-02</x:v>
      </x:c>
      <x:c r="B6" s="14" t="str">
        <x:v>Needs Information</x:v>
      </x:c>
      <x:c r="C6" s="14" t="str">
        <x:v>Intake</x:v>
      </x:c>
      <x:c r="D6" s="14" t="str">
        <x:v>No</x:v>
      </x:c>
      <x:c r="E6" s="14" t="str">
        <x:v>Yes</x:v>
      </x:c>
      <x:c r="F6" s="14" t="str">
        <x:v>Required data is missing or invalid</x:v>
      </x:c>
      <x:c r="G6" s="14" t="str">
        <x:v>Blocking issue resolved or authorized closure</x:v>
      </x:c>
      <x:c r="H6" s="14" t="str">
        <x:v>Needs Information</x:v>
      </x:c>
      <x:c r="I6" s="14" t="str">
        <x:v>Referral Coordinator</x:v>
      </x:c>
      <x:c r="J6" s="14" t="str"/>
      <x:c r="K6" s="14" t="str">
        <x:v>20</x:v>
      </x:c>
      <x:c r="L6" s="87" t="str">
        <x:v>Approved</x:v>
      </x:c>
    </x:row>
    <x:row r="7">
      <x:c r="A7" s="14" t="str">
        <x:v>STS-03</x:v>
      </x:c>
      <x:c r="B7" s="14" t="str">
        <x:v>Ready for Outreach</x:v>
      </x:c>
      <x:c r="C7" s="14" t="str">
        <x:v>Engagement</x:v>
      </x:c>
      <x:c r="D7" s="14" t="str">
        <x:v>No</x:v>
      </x:c>
      <x:c r="E7" s="14" t="str">
        <x:v>Yes</x:v>
      </x:c>
      <x:c r="F7" s="14" t="str">
        <x:v>Referral passes intake validation</x:v>
      </x:c>
      <x:c r="G7" s="14" t="str">
        <x:v>First outreach attempt or appointment confirmed</x:v>
      </x:c>
      <x:c r="H7" s="14" t="str">
        <x:v>Ready for Outreach</x:v>
      </x:c>
      <x:c r="I7" s="14" t="str">
        <x:v>Referral Coordinator</x:v>
      </x:c>
      <x:c r="J7" s="14" t="str"/>
      <x:c r="K7" s="14" t="str">
        <x:v>30</x:v>
      </x:c>
      <x:c r="L7" s="87" t="str">
        <x:v>Approved</x:v>
      </x:c>
    </x:row>
    <x:row r="8">
      <x:c r="A8" s="14" t="str">
        <x:v>STS-04</x:v>
      </x:c>
      <x:c r="B8" s="14" t="str">
        <x:v>Outreach in Progress</x:v>
      </x:c>
      <x:c r="C8" s="14" t="str">
        <x:v>Engagement</x:v>
      </x:c>
      <x:c r="D8" s="14" t="str">
        <x:v>No</x:v>
      </x:c>
      <x:c r="E8" s="14" t="str">
        <x:v>Yes</x:v>
      </x:c>
      <x:c r="F8" s="14" t="str">
        <x:v>At least one outreach attempt documented</x:v>
      </x:c>
      <x:c r="G8" s="14" t="str">
        <x:v>Appointment confirmed or outreach protocol exhausted</x:v>
      </x:c>
      <x:c r="H8" s="14" t="str">
        <x:v>Outreach Follow-Up</x:v>
      </x:c>
      <x:c r="I8" s="14" t="str">
        <x:v>Referral Coordinator</x:v>
      </x:c>
      <x:c r="J8" s="14" t="str"/>
      <x:c r="K8" s="14" t="str">
        <x:v>40</x:v>
      </x:c>
      <x:c r="L8" s="87" t="str">
        <x:v>Approved</x:v>
      </x:c>
    </x:row>
    <x:row r="9">
      <x:c r="A9" s="14" t="str">
        <x:v>STS-05</x:v>
      </x:c>
      <x:c r="B9" s="14" t="str">
        <x:v>Scheduled</x:v>
      </x:c>
      <x:c r="C9" s="14" t="str">
        <x:v>Scheduling</x:v>
      </x:c>
      <x:c r="D9" s="14" t="str">
        <x:v>No</x:v>
      </x:c>
      <x:c r="E9" s="14" t="str">
        <x:v>Yes</x:v>
      </x:c>
      <x:c r="F9" s="14" t="str">
        <x:v>Valid appointment date and specialist recorded</x:v>
      </x:c>
      <x:c r="G9" s="14" t="str">
        <x:v>Outcome verified</x:v>
      </x:c>
      <x:c r="H9" s="14" t="str">
        <x:v>Appointment Verification</x:v>
      </x:c>
      <x:c r="I9" s="14" t="str">
        <x:v>Referral Coordinator</x:v>
      </x:c>
      <x:c r="J9" s="14" t="str"/>
      <x:c r="K9" s="14" t="str">
        <x:v>50</x:v>
      </x:c>
      <x:c r="L9" s="87" t="str">
        <x:v>Approved</x:v>
      </x:c>
    </x:row>
    <x:row r="10">
      <x:c r="A10" s="14" t="str">
        <x:v>STS-06</x:v>
      </x:c>
      <x:c r="B10" s="14" t="str">
        <x:v>Completed—Report Pending</x:v>
      </x:c>
      <x:c r="C10" s="14" t="str">
        <x:v>Report Retrieval</x:v>
      </x:c>
      <x:c r="D10" s="14" t="str">
        <x:v>No</x:v>
      </x:c>
      <x:c r="E10" s="14" t="str">
        <x:v>Yes</x:v>
      </x:c>
      <x:c r="F10" s="14" t="str">
        <x:v>Appointment completed; consult report not yet reviewed</x:v>
      </x:c>
      <x:c r="G10" s="14" t="str">
        <x:v>Report routed and reviewed or authorized exception</x:v>
      </x:c>
      <x:c r="H10" s="14" t="str">
        <x:v>Report Pending</x:v>
      </x:c>
      <x:c r="I10" s="14" t="str">
        <x:v>Referral Coordinator</x:v>
      </x:c>
      <x:c r="J10" s="14" t="str"/>
      <x:c r="K10" s="14" t="str">
        <x:v>60</x:v>
      </x:c>
      <x:c r="L10" s="87" t="str">
        <x:v>Approved</x:v>
      </x:c>
    </x:row>
    <x:row r="11">
      <x:c r="A11" s="14" t="str">
        <x:v>STS-07</x:v>
      </x:c>
      <x:c r="B11" s="14" t="str">
        <x:v>Closed—Completed</x:v>
      </x:c>
      <x:c r="C11" s="14" t="str">
        <x:v>Closed Loop</x:v>
      </x:c>
      <x:c r="D11" s="14" t="str">
        <x:v>Yes</x:v>
      </x:c>
      <x:c r="E11" s="14" t="str">
        <x:v>Yes</x:v>
      </x:c>
      <x:c r="F11" s="14" t="str">
        <x:v>Consult report received, routed, and reviewed</x:v>
      </x:c>
      <x:c r="G11" s="14" t="str">
        <x:v>None—terminal status</x:v>
      </x:c>
      <x:c r="H11" s="14" t="str"/>
      <x:c r="I11" s="14" t="str">
        <x:v>Referring Clinician</x:v>
      </x:c>
      <x:c r="J11" s="14" t="str">
        <x:v>Completed</x:v>
      </x:c>
      <x:c r="K11" s="14" t="str">
        <x:v>70</x:v>
      </x:c>
      <x:c r="L11" s="87" t="str">
        <x:v>Approved</x:v>
      </x:c>
    </x:row>
    <x:row r="12">
      <x:c r="A12" s="14" t="str">
        <x:v>STS-08</x:v>
      </x:c>
      <x:c r="B12" s="14" t="str">
        <x:v>Closed—Not Completed</x:v>
      </x:c>
      <x:c r="C12" s="14" t="str">
        <x:v>Closed Loop</x:v>
      </x:c>
      <x:c r="D12" s="14" t="str">
        <x:v>Yes</x:v>
      </x:c>
      <x:c r="E12" s="14" t="str">
        <x:v>Yes</x:v>
      </x:c>
      <x:c r="F12" s="14" t="str">
        <x:v>Referral cannot be completed after documented workflow</x:v>
      </x:c>
      <x:c r="G12" s="14" t="str">
        <x:v>None—terminal status</x:v>
      </x:c>
      <x:c r="H12" s="14" t="str"/>
      <x:c r="I12" s="14" t="str">
        <x:v>Referral Manager</x:v>
      </x:c>
      <x:c r="J12" s="14" t="str">
        <x:v>Not Completed</x:v>
      </x:c>
      <x:c r="K12" s="14" t="str">
        <x:v>80</x:v>
      </x:c>
      <x:c r="L12" s="87" t="str">
        <x:v>Approved</x:v>
      </x:c>
    </x:row>
    <x:row r="13">
      <x:c r="A13" s="14" t="str">
        <x:v>STS-09</x:v>
      </x:c>
      <x:c r="B13" s="14" t="str">
        <x:v>Cancelled</x:v>
      </x:c>
      <x:c r="C13" s="14" t="str">
        <x:v>Closed Loop</x:v>
      </x:c>
      <x:c r="D13" s="14" t="str">
        <x:v>Yes</x:v>
      </x:c>
      <x:c r="E13" s="14" t="str">
        <x:v>Yes</x:v>
      </x:c>
      <x:c r="F13" s="14" t="str">
        <x:v>Cancellation is documented and authorized</x:v>
      </x:c>
      <x:c r="G13" s="14" t="str">
        <x:v>None—terminal status</x:v>
      </x:c>
      <x:c r="H13" s="14" t="str"/>
      <x:c r="I13" s="14" t="str">
        <x:v>Referral Manager</x:v>
      </x:c>
      <x:c r="J13" s="14" t="str">
        <x:v>Cancelled</x:v>
      </x:c>
      <x:c r="K13" s="14" t="str">
        <x:v>90</x:v>
      </x:c>
      <x:c r="L13" s="87" t="str">
        <x:v>Approved</x:v>
      </x:c>
    </x:row>
  </x:sheetData>
  <x:mergeCells>
    <x:mergeCell ref="A1:L1"/>
    <x:mergeCell ref="A2:L2"/>
  </x:mergeCells>
  <x:conditionalFormatting sqref="L5:L13">
    <x:cfRule type="containsText" dxfId="0" priority="1" operator="containsText" text="Approved"/>
    <x:cfRule type="containsText" dxfId="1" priority="2" operator="containsText" text="Proposed"/>
    <x:cfRule type="containsText" dxfId="2" priority="3" operator="containsText" text="Retired"/>
  </x:conditionalFormatting>
  <x:dataValidations count="1">
    <x:dataValidation type="list" sqref="L5:L13">
      <x:formula1>"Proposed,Approved,Configured,Retired"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afb72b68ae40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34" hidden="0" customWidth="1"/>
    <x:col min="4" max="4" width="42" hidden="0" customWidth="1"/>
    <x:col min="5" max="5" width="28" hidden="0" customWidth="1"/>
    <x:col min="6" max="6" width="23" hidden="0" customWidth="1"/>
    <x:col min="7" max="7" width="22" hidden="0" customWidth="1"/>
    <x:col min="8" max="8" width="10" hidden="0" customWidth="1"/>
    <x:col min="9" max="9" width="15" hidden="0" customWidth="1"/>
  </x:cols>
  <x:sheetData>
    <x:row r="1" ht="32" customHeight="1">
      <x:c r="A1" s="3" t="str">
        <x:v>Queues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Action-oriented work queues translate referral state into prioritized staff work.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1" t="str">
        <x:v>Queue ID</x:v>
      </x:c>
      <x:c r="B4" s="11" t="str">
        <x:v>Queue Name</x:v>
      </x:c>
      <x:c r="C4" s="11" t="str">
        <x:v>Purpose</x:v>
      </x:c>
      <x:c r="D4" s="11" t="str">
        <x:v>Inclusion Logic</x:v>
      </x:c>
      <x:c r="E4" s="11" t="str">
        <x:v>Default Sort</x:v>
      </x:c>
      <x:c r="F4" s="11" t="str">
        <x:v>Owner Role</x:v>
      </x:c>
      <x:c r="G4" s="11" t="str">
        <x:v>SLA Source</x:v>
      </x:c>
      <x:c r="H4" s="11" t="str">
        <x:v>Active?</x:v>
      </x:c>
      <x:c r="I4" s="11" t="str">
        <x:v>Config Status</x:v>
      </x:c>
    </x:row>
    <x:row r="5">
      <x:c r="A5" s="14" t="str">
        <x:v>QUE-01</x:v>
      </x:c>
      <x:c r="B5" s="14" t="str">
        <x:v>New Intake</x:v>
      </x:c>
      <x:c r="C5" s="14" t="str">
        <x:v>Validate newly received referrals</x:v>
      </x:c>
      <x:c r="D5" s="14" t="str">
        <x:v>Current status = Received</x:v>
      </x:c>
      <x:c r="E5" s="14" t="str">
        <x:v>Urgent first; oldest received</x:v>
      </x:c>
      <x:c r="F5" s="14" t="str">
        <x:v>Referral Coordinator</x:v>
      </x:c>
      <x:c r="G5" s="14" t="str">
        <x:v>Intake validation</x:v>
      </x:c>
      <x:c r="H5" s="14" t="str">
        <x:v>Yes</x:v>
      </x:c>
      <x:c r="I5" s="87" t="str">
        <x:v>Approved</x:v>
      </x:c>
    </x:row>
    <x:row r="6">
      <x:c r="A6" s="14" t="str">
        <x:v>QUE-02</x:v>
      </x:c>
      <x:c r="B6" s="14" t="str">
        <x:v>Needs Information</x:v>
      </x:c>
      <x:c r="C6" s="14" t="str">
        <x:v>Resolve missing or invalid referral data</x:v>
      </x:c>
      <x:c r="D6" s="14" t="str">
        <x:v>Current status = Needs Information</x:v>
      </x:c>
      <x:c r="E6" s="14" t="str">
        <x:v>Urgent first; SLA due date</x:v>
      </x:c>
      <x:c r="F6" s="14" t="str">
        <x:v>Referral Coordinator</x:v>
      </x:c>
      <x:c r="G6" s="14" t="str">
        <x:v>Missing information</x:v>
      </x:c>
      <x:c r="H6" s="14" t="str">
        <x:v>Yes</x:v>
      </x:c>
      <x:c r="I6" s="87" t="str">
        <x:v>Approved</x:v>
      </x:c>
    </x:row>
    <x:row r="7">
      <x:c r="A7" s="14" t="str">
        <x:v>QUE-03</x:v>
      </x:c>
      <x:c r="B7" s="14" t="str">
        <x:v>Ready for Outreach</x:v>
      </x:c>
      <x:c r="C7" s="14" t="str">
        <x:v>Start patient or specialist outreach</x:v>
      </x:c>
      <x:c r="D7" s="14" t="str">
        <x:v>Current status = Ready for Outreach</x:v>
      </x:c>
      <x:c r="E7" s="14" t="str">
        <x:v>Urgent first; SLA due date</x:v>
      </x:c>
      <x:c r="F7" s="14" t="str">
        <x:v>Referral Coordinator</x:v>
      </x:c>
      <x:c r="G7" s="14" t="str">
        <x:v>Initial outreach</x:v>
      </x:c>
      <x:c r="H7" s="14" t="str">
        <x:v>Yes</x:v>
      </x:c>
      <x:c r="I7" s="87" t="str">
        <x:v>Approved</x:v>
      </x:c>
    </x:row>
    <x:row r="8">
      <x:c r="A8" s="14" t="str">
        <x:v>QUE-04</x:v>
      </x:c>
      <x:c r="B8" s="14" t="str">
        <x:v>Outreach Follow-Up</x:v>
      </x:c>
      <x:c r="C8" s="14" t="str">
        <x:v>Complete next documented outreach action</x:v>
      </x:c>
      <x:c r="D8" s="14" t="str">
        <x:v>Current status = Outreach in Progress</x:v>
      </x:c>
      <x:c r="E8" s="14" t="str">
        <x:v>Overdue first; next action date</x:v>
      </x:c>
      <x:c r="F8" s="14" t="str">
        <x:v>Referral Coordinator</x:v>
      </x:c>
      <x:c r="G8" s="14" t="str">
        <x:v>Outreach follow-up</x:v>
      </x:c>
      <x:c r="H8" s="14" t="str">
        <x:v>Yes</x:v>
      </x:c>
      <x:c r="I8" s="87" t="str">
        <x:v>Approved</x:v>
      </x:c>
    </x:row>
    <x:row r="9">
      <x:c r="A9" s="14" t="str">
        <x:v>QUE-05</x:v>
      </x:c>
      <x:c r="B9" s="14" t="str">
        <x:v>Appointment Verification</x:v>
      </x:c>
      <x:c r="C9" s="14" t="str">
        <x:v>Verify outcomes for elapsed appointments</x:v>
      </x:c>
      <x:c r="D9" s="14" t="str">
        <x:v>Current status = Scheduled AND appointment start &lt; current time</x:v>
      </x:c>
      <x:c r="E9" s="14" t="str">
        <x:v>Urgent first; oldest elapsed appointment</x:v>
      </x:c>
      <x:c r="F9" s="14" t="str">
        <x:v>Referral Coordinator</x:v>
      </x:c>
      <x:c r="G9" s="14" t="str">
        <x:v>Outcome verification</x:v>
      </x:c>
      <x:c r="H9" s="14" t="str">
        <x:v>Yes</x:v>
      </x:c>
      <x:c r="I9" s="87" t="str">
        <x:v>Approved</x:v>
      </x:c>
    </x:row>
    <x:row r="10">
      <x:c r="A10" s="14" t="str">
        <x:v>QUE-06</x:v>
      </x:c>
      <x:c r="B10" s="14" t="str">
        <x:v>Report Pending</x:v>
      </x:c>
      <x:c r="C10" s="14" t="str">
        <x:v>Obtain and route consultation reports</x:v>
      </x:c>
      <x:c r="D10" s="14" t="str">
        <x:v>Current status = Completed—Report Pending</x:v>
      </x:c>
      <x:c r="E10" s="14" t="str">
        <x:v>Urgent first; oldest completed appointment</x:v>
      </x:c>
      <x:c r="F10" s="14" t="str">
        <x:v>Referral Coordinator</x:v>
      </x:c>
      <x:c r="G10" s="14" t="str">
        <x:v>Report retrieval</x:v>
      </x:c>
      <x:c r="H10" s="14" t="str">
        <x:v>Yes</x:v>
      </x:c>
      <x:c r="I10" s="87" t="str">
        <x:v>Approved</x:v>
      </x:c>
    </x:row>
    <x:row r="11">
      <x:c r="A11" s="14" t="str">
        <x:v>QUE-07</x:v>
      </x:c>
      <x:c r="B11" s="14" t="str">
        <x:v>Urgent Escalations</x:v>
      </x:c>
      <x:c r="C11" s="14" t="str">
        <x:v>Surface urgent items breaching service levels</x:v>
      </x:c>
      <x:c r="D11" s="14" t="str">
        <x:v>Priority = Urgent AND open AND SLA overdue</x:v>
      </x:c>
      <x:c r="E11" s="14" t="str">
        <x:v>Most overdue first</x:v>
      </x:c>
      <x:c r="F11" s="14" t="str">
        <x:v>Referral Manager</x:v>
      </x:c>
      <x:c r="G11" s="14" t="str">
        <x:v>Any urgent SLA</x:v>
      </x:c>
      <x:c r="H11" s="14" t="str">
        <x:v>Yes</x:v>
      </x:c>
      <x:c r="I11" s="87" t="str">
        <x:v>Approved</x:v>
      </x:c>
    </x:row>
    <x:row r="12">
      <x:c r="A12" s="14" t="str">
        <x:v>QUE-08</x:v>
      </x:c>
      <x:c r="B12" s="14" t="str">
        <x:v>Unassigned Referrals</x:v>
      </x:c>
      <x:c r="C12" s="14" t="str">
        <x:v>Prevent unowned operational work</x:v>
      </x:c>
      <x:c r="D12" s="14" t="str">
        <x:v>Open referral AND no active assignment</x:v>
      </x:c>
      <x:c r="E12" s="14" t="str">
        <x:v>Urgent first; oldest received</x:v>
      </x:c>
      <x:c r="F12" s="14" t="str">
        <x:v>Referral Manager</x:v>
      </x:c>
      <x:c r="G12" s="14" t="str">
        <x:v>Assignment</x:v>
      </x:c>
      <x:c r="H12" s="14" t="str">
        <x:v>Yes</x:v>
      </x:c>
      <x:c r="I12" s="87" t="str">
        <x:v>Approved</x:v>
      </x:c>
    </x:row>
    <x:row r="13">
      <x:c r="A13" s="14" t="str">
        <x:v>QUE-09</x:v>
      </x:c>
      <x:c r="B13" s="14" t="str">
        <x:v>Data Exceptions</x:v>
      </x:c>
      <x:c r="C13" s="14" t="str">
        <x:v>Resolve cross-record or interface anomalies</x:v>
      </x:c>
      <x:c r="D13" s="14" t="str">
        <x:v>Open validation issue or unmatched report</x:v>
      </x:c>
      <x:c r="E13" s="14" t="str">
        <x:v>Critical severity first; oldest issue</x:v>
      </x:c>
      <x:c r="F13" s="14" t="str">
        <x:v>Health IT Support</x:v>
      </x:c>
      <x:c r="G13" s="14" t="str">
        <x:v>Exception resolution</x:v>
      </x:c>
      <x:c r="H13" s="14" t="str">
        <x:v>Yes</x:v>
      </x:c>
      <x:c r="I13" s="87" t="str">
        <x:v>Approved</x:v>
      </x:c>
    </x:row>
  </x:sheetData>
  <x:mergeCells>
    <x:mergeCell ref="A1:I1"/>
    <x:mergeCell ref="A2:I2"/>
  </x:mergeCells>
  <x:conditionalFormatting sqref="I5:I13">
    <x:cfRule type="containsText" dxfId="3" priority="1" operator="containsText" text="Approved"/>
    <x:cfRule type="containsText" dxfId="4" priority="2" operator="containsText" text="Proposed"/>
    <x:cfRule type="containsText" dxfId="5" priority="3" operator="containsText" text="Retired"/>
  </x:conditionalFormatting>
  <x:dataValidations count="1">
    <x:dataValidation type="list" sqref="I5:I13">
      <x:formula1>"Proposed,Approved,Configured,Retired"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d978cd436a46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12" hidden="0" customWidth="1"/>
    <x:col min="4" max="4" width="38" hidden="0" customWidth="1"/>
    <x:col min="5" max="5" width="14" hidden="0" customWidth="1"/>
    <x:col min="6" max="6" width="38" hidden="0" customWidth="1"/>
    <x:col min="7" max="7" width="24" hidden="0" customWidth="1"/>
    <x:col min="8" max="8" width="18" hidden="0" customWidth="1"/>
    <x:col min="9" max="9" width="15" hidden="0" customWidth="1"/>
  </x:cols>
  <x:sheetData>
    <x:row r="1" ht="32" customHeight="1">
      <x:c r="A1" s="3" t="str">
        <x:v>SLA Rules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Proposed calendar-hour service levels. Validate production business calendars and escalation recipients during design workshops.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1" t="str">
        <x:v>Rule ID</x:v>
      </x:c>
      <x:c r="B4" s="11" t="str">
        <x:v>Workflow Stage</x:v>
      </x:c>
      <x:c r="C4" s="11" t="str">
        <x:v>Priority</x:v>
      </x:c>
      <x:c r="D4" s="11" t="str">
        <x:v>Trigger Event</x:v>
      </x:c>
      <x:c r="E4" s="11" t="str">
        <x:v>Target Hours</x:v>
      </x:c>
      <x:c r="F4" s="11" t="str">
        <x:v>Required Action</x:v>
      </x:c>
      <x:c r="G4" s="11" t="str">
        <x:v>Escalation Recipient</x:v>
      </x:c>
      <x:c r="H4" s="11" t="str">
        <x:v>Clock Type</x:v>
      </x:c>
      <x:c r="I4" s="11" t="str">
        <x:v>Config Status</x:v>
      </x:c>
    </x:row>
    <x:row r="5">
      <x:c r="A5" s="14" t="str">
        <x:v>SLA-01</x:v>
      </x:c>
      <x:c r="B5" s="14" t="str">
        <x:v>Intake Validation</x:v>
      </x:c>
      <x:c r="C5" s="14" t="str">
        <x:v>Routine</x:v>
      </x:c>
      <x:c r="D5" s="14" t="str">
        <x:v>Referral received</x:v>
      </x:c>
      <x:c r="E5" s="15" t="n">
        <x:v>48</x:v>
      </x:c>
      <x:c r="F5" s="14" t="str">
        <x:v>Complete intake validation</x:v>
      </x:c>
      <x:c r="G5" s="14" t="str">
        <x:v>Referral Manager</x:v>
      </x:c>
      <x:c r="H5" s="14" t="str">
        <x:v>Calendar hours</x:v>
      </x:c>
      <x:c r="I5" s="87" t="str">
        <x:v>Approved</x:v>
      </x:c>
    </x:row>
    <x:row r="6">
      <x:c r="A6" s="14" t="str">
        <x:v>SLA-02</x:v>
      </x:c>
      <x:c r="B6" s="14" t="str">
        <x:v>Intake Validation</x:v>
      </x:c>
      <x:c r="C6" s="14" t="str">
        <x:v>Urgent</x:v>
      </x:c>
      <x:c r="D6" s="14" t="str">
        <x:v>Referral received</x:v>
      </x:c>
      <x:c r="E6" s="15" t="n">
        <x:v>8</x:v>
      </x:c>
      <x:c r="F6" s="14" t="str">
        <x:v>Complete intake validation</x:v>
      </x:c>
      <x:c r="G6" s="14" t="str">
        <x:v>Referral Manager</x:v>
      </x:c>
      <x:c r="H6" s="14" t="str">
        <x:v>Calendar hours</x:v>
      </x:c>
      <x:c r="I6" s="87" t="str">
        <x:v>Approved</x:v>
      </x:c>
    </x:row>
    <x:row r="7">
      <x:c r="A7" s="14" t="str">
        <x:v>SLA-03</x:v>
      </x:c>
      <x:c r="B7" s="14" t="str">
        <x:v>Initial Outreach</x:v>
      </x:c>
      <x:c r="C7" s="14" t="str">
        <x:v>Routine</x:v>
      </x:c>
      <x:c r="D7" s="14" t="str">
        <x:v>Referral becomes Ready for Outreach</x:v>
      </x:c>
      <x:c r="E7" s="15" t="n">
        <x:v>72</x:v>
      </x:c>
      <x:c r="F7" s="14" t="str">
        <x:v>Document first outreach attempt</x:v>
      </x:c>
      <x:c r="G7" s="14" t="str">
        <x:v>Referral Manager</x:v>
      </x:c>
      <x:c r="H7" s="14" t="str">
        <x:v>Calendar hours</x:v>
      </x:c>
      <x:c r="I7" s="87" t="str">
        <x:v>Approved</x:v>
      </x:c>
    </x:row>
    <x:row r="8">
      <x:c r="A8" s="14" t="str">
        <x:v>SLA-04</x:v>
      </x:c>
      <x:c r="B8" s="14" t="str">
        <x:v>Initial Outreach</x:v>
      </x:c>
      <x:c r="C8" s="14" t="str">
        <x:v>Urgent</x:v>
      </x:c>
      <x:c r="D8" s="14" t="str">
        <x:v>Referral becomes Ready for Outreach</x:v>
      </x:c>
      <x:c r="E8" s="15" t="n">
        <x:v>24</x:v>
      </x:c>
      <x:c r="F8" s="14" t="str">
        <x:v>Document first outreach attempt</x:v>
      </x:c>
      <x:c r="G8" s="14" t="str">
        <x:v>Referral Manager</x:v>
      </x:c>
      <x:c r="H8" s="14" t="str">
        <x:v>Calendar hours</x:v>
      </x:c>
      <x:c r="I8" s="87" t="str">
        <x:v>Approved</x:v>
      </x:c>
    </x:row>
    <x:row r="9">
      <x:c r="A9" s="14" t="str">
        <x:v>SLA-05</x:v>
      </x:c>
      <x:c r="B9" s="14" t="str">
        <x:v>Missing Information</x:v>
      </x:c>
      <x:c r="C9" s="14" t="str">
        <x:v>Routine</x:v>
      </x:c>
      <x:c r="D9" s="14" t="str">
        <x:v>Referral enters Needs Information</x:v>
      </x:c>
      <x:c r="E9" s="15" t="n">
        <x:v>120</x:v>
      </x:c>
      <x:c r="F9" s="14" t="str">
        <x:v>Resolve or escalate missing information</x:v>
      </x:c>
      <x:c r="G9" s="14" t="str">
        <x:v>Referral Manager</x:v>
      </x:c>
      <x:c r="H9" s="14" t="str">
        <x:v>Calendar hours</x:v>
      </x:c>
      <x:c r="I9" s="87" t="str">
        <x:v>Approved</x:v>
      </x:c>
    </x:row>
    <x:row r="10">
      <x:c r="A10" s="14" t="str">
        <x:v>SLA-06</x:v>
      </x:c>
      <x:c r="B10" s="14" t="str">
        <x:v>Missing Information</x:v>
      </x:c>
      <x:c r="C10" s="14" t="str">
        <x:v>Urgent</x:v>
      </x:c>
      <x:c r="D10" s="14" t="str">
        <x:v>Referral enters Needs Information</x:v>
      </x:c>
      <x:c r="E10" s="15" t="n">
        <x:v>24</x:v>
      </x:c>
      <x:c r="F10" s="14" t="str">
        <x:v>Resolve or escalate missing information</x:v>
      </x:c>
      <x:c r="G10" s="14" t="str">
        <x:v>Referral Manager</x:v>
      </x:c>
      <x:c r="H10" s="14" t="str">
        <x:v>Calendar hours</x:v>
      </x:c>
      <x:c r="I10" s="87" t="str">
        <x:v>Approved</x:v>
      </x:c>
    </x:row>
    <x:row r="11">
      <x:c r="A11" s="14" t="str">
        <x:v>SLA-07</x:v>
      </x:c>
      <x:c r="B11" s="14" t="str">
        <x:v>Unscheduled Referral</x:v>
      </x:c>
      <x:c r="C11" s="14" t="str">
        <x:v>Routine</x:v>
      </x:c>
      <x:c r="D11" s="14" t="str">
        <x:v>Referral enters outreach workflow</x:v>
      </x:c>
      <x:c r="E11" s="15" t="n">
        <x:v>240</x:v>
      </x:c>
      <x:c r="F11" s="14" t="str">
        <x:v>Escalate unscheduled referral</x:v>
      </x:c>
      <x:c r="G11" s="14" t="str">
        <x:v>Practice Manager</x:v>
      </x:c>
      <x:c r="H11" s="14" t="str">
        <x:v>Calendar hours</x:v>
      </x:c>
      <x:c r="I11" s="87" t="str">
        <x:v>Approved</x:v>
      </x:c>
    </x:row>
    <x:row r="12">
      <x:c r="A12" s="14" t="str">
        <x:v>SLA-08</x:v>
      </x:c>
      <x:c r="B12" s="14" t="str">
        <x:v>Unscheduled Referral</x:v>
      </x:c>
      <x:c r="C12" s="14" t="str">
        <x:v>Urgent</x:v>
      </x:c>
      <x:c r="D12" s="14" t="str">
        <x:v>Referral enters outreach workflow</x:v>
      </x:c>
      <x:c r="E12" s="15" t="n">
        <x:v>48</x:v>
      </x:c>
      <x:c r="F12" s="14" t="str">
        <x:v>Escalate unscheduled referral</x:v>
      </x:c>
      <x:c r="G12" s="14" t="str">
        <x:v>Practice Manager</x:v>
      </x:c>
      <x:c r="H12" s="14" t="str">
        <x:v>Calendar hours</x:v>
      </x:c>
      <x:c r="I12" s="87" t="str">
        <x:v>Approved</x:v>
      </x:c>
    </x:row>
    <x:row r="13">
      <x:c r="A13" s="14" t="str">
        <x:v>SLA-09</x:v>
      </x:c>
      <x:c r="B13" s="14" t="str">
        <x:v>Outcome Verification</x:v>
      </x:c>
      <x:c r="C13" s="14" t="str">
        <x:v>Routine</x:v>
      </x:c>
      <x:c r="D13" s="14" t="str">
        <x:v>Appointment start time has elapsed</x:v>
      </x:c>
      <x:c r="E13" s="15" t="n">
        <x:v>72</x:v>
      </x:c>
      <x:c r="F13" s="14" t="str">
        <x:v>Verify appointment outcome</x:v>
      </x:c>
      <x:c r="G13" s="14" t="str">
        <x:v>Referral Manager</x:v>
      </x:c>
      <x:c r="H13" s="14" t="str">
        <x:v>Calendar hours</x:v>
      </x:c>
      <x:c r="I13" s="87" t="str">
        <x:v>Approved</x:v>
      </x:c>
    </x:row>
    <x:row r="14">
      <x:c r="A14" s="14" t="str">
        <x:v>SLA-10</x:v>
      </x:c>
      <x:c r="B14" s="14" t="str">
        <x:v>Outcome Verification</x:v>
      </x:c>
      <x:c r="C14" s="14" t="str">
        <x:v>Urgent</x:v>
      </x:c>
      <x:c r="D14" s="14" t="str">
        <x:v>Appointment start time has elapsed</x:v>
      </x:c>
      <x:c r="E14" s="15" t="n">
        <x:v>24</x:v>
      </x:c>
      <x:c r="F14" s="14" t="str">
        <x:v>Verify appointment outcome</x:v>
      </x:c>
      <x:c r="G14" s="14" t="str">
        <x:v>Referral Manager</x:v>
      </x:c>
      <x:c r="H14" s="14" t="str">
        <x:v>Calendar hours</x:v>
      </x:c>
      <x:c r="I14" s="87" t="str">
        <x:v>Approved</x:v>
      </x:c>
    </x:row>
    <x:row r="15">
      <x:c r="A15" s="14" t="str">
        <x:v>SLA-11</x:v>
      </x:c>
      <x:c r="B15" s="14" t="str">
        <x:v>Report Retrieval</x:v>
      </x:c>
      <x:c r="C15" s="14" t="str">
        <x:v>Routine</x:v>
      </x:c>
      <x:c r="D15" s="14" t="str">
        <x:v>Appointment marked Completed</x:v>
      </x:c>
      <x:c r="E15" s="15" t="n">
        <x:v>168</x:v>
      </x:c>
      <x:c r="F15" s="14" t="str">
        <x:v>Obtain and route consultation report</x:v>
      </x:c>
      <x:c r="G15" s="14" t="str">
        <x:v>Practice Manager</x:v>
      </x:c>
      <x:c r="H15" s="14" t="str">
        <x:v>Calendar hours</x:v>
      </x:c>
      <x:c r="I15" s="87" t="str">
        <x:v>Approved</x:v>
      </x:c>
    </x:row>
    <x:row r="16">
      <x:c r="A16" s="14" t="str">
        <x:v>SLA-12</x:v>
      </x:c>
      <x:c r="B16" s="14" t="str">
        <x:v>Report Retrieval</x:v>
      </x:c>
      <x:c r="C16" s="14" t="str">
        <x:v>Urgent</x:v>
      </x:c>
      <x:c r="D16" s="14" t="str">
        <x:v>Appointment marked Completed</x:v>
      </x:c>
      <x:c r="E16" s="15" t="n">
        <x:v>72</x:v>
      </x:c>
      <x:c r="F16" s="14" t="str">
        <x:v>Obtain and route consultation report</x:v>
      </x:c>
      <x:c r="G16" s="14" t="str">
        <x:v>Practice Manager</x:v>
      </x:c>
      <x:c r="H16" s="14" t="str">
        <x:v>Calendar hours</x:v>
      </x:c>
      <x:c r="I16" s="87" t="str">
        <x:v>Approved</x:v>
      </x:c>
    </x:row>
  </x:sheetData>
  <x:mergeCells>
    <x:mergeCell ref="A1:I1"/>
    <x:mergeCell ref="A2:I2"/>
  </x:mergeCells>
  <x:conditionalFormatting sqref="I5:I16">
    <x:cfRule type="containsText" dxfId="6" priority="1" operator="containsText" text="Approved"/>
    <x:cfRule type="containsText" dxfId="7" priority="2" operator="containsText" text="Proposed"/>
    <x:cfRule type="containsText" dxfId="8" priority="3" operator="containsText" text="Retired"/>
  </x:conditionalFormatting>
  <x:dataValidations count="1">
    <x:dataValidation type="list" sqref="I5:I16">
      <x:formula1>"Proposed,Approved,Configured,Retired"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d1124b59db48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6" hidden="0" customWidth="1"/>
    <x:col min="4" max="4" width="45" hidden="0" customWidth="1"/>
    <x:col min="5" max="5" width="38" hidden="0" customWidth="1"/>
    <x:col min="6" max="6" width="23" hidden="0" customWidth="1"/>
    <x:col min="7" max="7" width="20" hidden="0" customWidth="1"/>
    <x:col min="8" max="8" width="15" hidden="0" customWidth="1"/>
  </x:cols>
  <x:sheetData>
    <x:row r="1" ht="32" customHeight="1">
      <x:c r="A1" s="3" t="str">
        <x:v>Transitions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Allow-list of lifecycle transitions with minimum documentation and role authorization.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1" t="str">
        <x:v>Transition ID</x:v>
      </x:c>
      <x:c r="B4" s="11" t="str">
        <x:v>From Status</x:v>
      </x:c>
      <x:c r="C4" s="11" t="str">
        <x:v>To Status</x:v>
      </x:c>
      <x:c r="D4" s="11" t="str">
        <x:v>Trigger / Condition</x:v>
      </x:c>
      <x:c r="E4" s="11" t="str">
        <x:v>Required Fields</x:v>
      </x:c>
      <x:c r="F4" s="11" t="str">
        <x:v>Authorized Role</x:v>
      </x:c>
      <x:c r="G4" s="11" t="str">
        <x:v>Audit Reason Required?</x:v>
      </x:c>
      <x:c r="H4" s="11" t="str">
        <x:v>Config Status</x:v>
      </x:c>
    </x:row>
    <x:row r="5">
      <x:c r="A5" s="14" t="str">
        <x:v>TRN-01</x:v>
      </x:c>
      <x:c r="B5" s="14" t="str">
        <x:v>Received</x:v>
      </x:c>
      <x:c r="C5" s="14" t="str">
        <x:v>Needs Information</x:v>
      </x:c>
      <x:c r="D5" s="14" t="str">
        <x:v>Validation identifies a blocking issue</x:v>
      </x:c>
      <x:c r="E5" s="14" t="str">
        <x:v>Validation issue</x:v>
      </x:c>
      <x:c r="F5" s="14" t="str">
        <x:v>Referral Coordinator</x:v>
      </x:c>
      <x:c r="G5" s="14" t="str">
        <x:v>No</x:v>
      </x:c>
      <x:c r="H5" s="87" t="str">
        <x:v>Approved</x:v>
      </x:c>
    </x:row>
    <x:row r="6">
      <x:c r="A6" s="14" t="str">
        <x:v>TRN-02</x:v>
      </x:c>
      <x:c r="B6" s="14" t="str">
        <x:v>Received</x:v>
      </x:c>
      <x:c r="C6" s="14" t="str">
        <x:v>Ready for Outreach</x:v>
      </x:c>
      <x:c r="D6" s="14" t="str">
        <x:v>Validation passes</x:v>
      </x:c>
      <x:c r="E6" s="14" t="str">
        <x:v>Validation result</x:v>
      </x:c>
      <x:c r="F6" s="14" t="str">
        <x:v>Referral Coordinator</x:v>
      </x:c>
      <x:c r="G6" s="14" t="str">
        <x:v>No</x:v>
      </x:c>
      <x:c r="H6" s="87" t="str">
        <x:v>Approved</x:v>
      </x:c>
    </x:row>
    <x:row r="7">
      <x:c r="A7" s="14" t="str">
        <x:v>TRN-03</x:v>
      </x:c>
      <x:c r="B7" s="14" t="str">
        <x:v>Received</x:v>
      </x:c>
      <x:c r="C7" s="14" t="str">
        <x:v>Cancelled</x:v>
      </x:c>
      <x:c r="D7" s="14" t="str">
        <x:v>Valid cancellation received</x:v>
      </x:c>
      <x:c r="E7" s="14" t="str">
        <x:v>Cancellation reason</x:v>
      </x:c>
      <x:c r="F7" s="14" t="str">
        <x:v>Referral Manager</x:v>
      </x:c>
      <x:c r="G7" s="14" t="str">
        <x:v>Yes</x:v>
      </x:c>
      <x:c r="H7" s="87" t="str">
        <x:v>Approved</x:v>
      </x:c>
    </x:row>
    <x:row r="8">
      <x:c r="A8" s="14" t="str">
        <x:v>TRN-04</x:v>
      </x:c>
      <x:c r="B8" s="14" t="str">
        <x:v>Needs Information</x:v>
      </x:c>
      <x:c r="C8" s="14" t="str">
        <x:v>Ready for Outreach</x:v>
      </x:c>
      <x:c r="D8" s="14" t="str">
        <x:v>All blocking issues resolved</x:v>
      </x:c>
      <x:c r="E8" s="14" t="str">
        <x:v>Resolution note</x:v>
      </x:c>
      <x:c r="F8" s="14" t="str">
        <x:v>Referral Coordinator</x:v>
      </x:c>
      <x:c r="G8" s="14" t="str">
        <x:v>No</x:v>
      </x:c>
      <x:c r="H8" s="87" t="str">
        <x:v>Approved</x:v>
      </x:c>
    </x:row>
    <x:row r="9">
      <x:c r="A9" s="14" t="str">
        <x:v>TRN-05</x:v>
      </x:c>
      <x:c r="B9" s="14" t="str">
        <x:v>Needs Information</x:v>
      </x:c>
      <x:c r="C9" s="14" t="str">
        <x:v>Closed—Not Completed</x:v>
      </x:c>
      <x:c r="D9" s="14" t="str">
        <x:v>Required information cannot be obtained</x:v>
      </x:c>
      <x:c r="E9" s="14" t="str">
        <x:v>Closure reason; approval</x:v>
      </x:c>
      <x:c r="F9" s="14" t="str">
        <x:v>Referral Manager</x:v>
      </x:c>
      <x:c r="G9" s="14" t="str">
        <x:v>Yes</x:v>
      </x:c>
      <x:c r="H9" s="87" t="str">
        <x:v>Approved</x:v>
      </x:c>
    </x:row>
    <x:row r="10">
      <x:c r="A10" s="14" t="str">
        <x:v>TRN-06</x:v>
      </x:c>
      <x:c r="B10" s="14" t="str">
        <x:v>Needs Information</x:v>
      </x:c>
      <x:c r="C10" s="14" t="str">
        <x:v>Cancelled</x:v>
      </x:c>
      <x:c r="D10" s="14" t="str">
        <x:v>Cancellation authorized</x:v>
      </x:c>
      <x:c r="E10" s="14" t="str">
        <x:v>Cancellation reason</x:v>
      </x:c>
      <x:c r="F10" s="14" t="str">
        <x:v>Referral Manager</x:v>
      </x:c>
      <x:c r="G10" s="14" t="str">
        <x:v>Yes</x:v>
      </x:c>
      <x:c r="H10" s="87" t="str">
        <x:v>Approved</x:v>
      </x:c>
    </x:row>
    <x:row r="11">
      <x:c r="A11" s="14" t="str">
        <x:v>TRN-07</x:v>
      </x:c>
      <x:c r="B11" s="14" t="str">
        <x:v>Ready for Outreach</x:v>
      </x:c>
      <x:c r="C11" s="14" t="str">
        <x:v>Outreach in Progress</x:v>
      </x:c>
      <x:c r="D11" s="14" t="str">
        <x:v>First outreach attempt recorded</x:v>
      </x:c>
      <x:c r="E11" s="14" t="str">
        <x:v>Channel; outcome; timestamp</x:v>
      </x:c>
      <x:c r="F11" s="14" t="str">
        <x:v>Referral Coordinator</x:v>
      </x:c>
      <x:c r="G11" s="14" t="str">
        <x:v>No</x:v>
      </x:c>
      <x:c r="H11" s="87" t="str">
        <x:v>Approved</x:v>
      </x:c>
    </x:row>
    <x:row r="12">
      <x:c r="A12" s="14" t="str">
        <x:v>TRN-08</x:v>
      </x:c>
      <x:c r="B12" s="14" t="str">
        <x:v>Ready for Outreach</x:v>
      </x:c>
      <x:c r="C12" s="14" t="str">
        <x:v>Scheduled</x:v>
      </x:c>
      <x:c r="D12" s="14" t="str">
        <x:v>Appointment confirmed without outreach</x:v>
      </x:c>
      <x:c r="E12" s="14" t="str">
        <x:v>Appointment fields</x:v>
      </x:c>
      <x:c r="F12" s="14" t="str">
        <x:v>Referral Coordinator</x:v>
      </x:c>
      <x:c r="G12" s="14" t="str">
        <x:v>No</x:v>
      </x:c>
      <x:c r="H12" s="87" t="str">
        <x:v>Approved</x:v>
      </x:c>
    </x:row>
    <x:row r="13">
      <x:c r="A13" s="14" t="str">
        <x:v>TRN-09</x:v>
      </x:c>
      <x:c r="B13" s="14" t="str">
        <x:v>Ready for Outreach</x:v>
      </x:c>
      <x:c r="C13" s="14" t="str">
        <x:v>Closed—Not Completed</x:v>
      </x:c>
      <x:c r="D13" s="14" t="str">
        <x:v>Authorized exception</x:v>
      </x:c>
      <x:c r="E13" s="14" t="str">
        <x:v>Closure reason; approval</x:v>
      </x:c>
      <x:c r="F13" s="14" t="str">
        <x:v>Referral Manager</x:v>
      </x:c>
      <x:c r="G13" s="14" t="str">
        <x:v>Yes</x:v>
      </x:c>
      <x:c r="H13" s="87" t="str">
        <x:v>Approved</x:v>
      </x:c>
    </x:row>
    <x:row r="14">
      <x:c r="A14" s="14" t="str">
        <x:v>TRN-10</x:v>
      </x:c>
      <x:c r="B14" s="14" t="str">
        <x:v>Ready for Outreach</x:v>
      </x:c>
      <x:c r="C14" s="14" t="str">
        <x:v>Cancelled</x:v>
      </x:c>
      <x:c r="D14" s="14" t="str">
        <x:v>Cancellation authorized</x:v>
      </x:c>
      <x:c r="E14" s="14" t="str">
        <x:v>Cancellation reason</x:v>
      </x:c>
      <x:c r="F14" s="14" t="str">
        <x:v>Referral Manager</x:v>
      </x:c>
      <x:c r="G14" s="14" t="str">
        <x:v>Yes</x:v>
      </x:c>
      <x:c r="H14" s="87" t="str">
        <x:v>Approved</x:v>
      </x:c>
    </x:row>
    <x:row r="15">
      <x:c r="A15" s="14" t="str">
        <x:v>TRN-11</x:v>
      </x:c>
      <x:c r="B15" s="14" t="str">
        <x:v>Outreach in Progress</x:v>
      </x:c>
      <x:c r="C15" s="14" t="str">
        <x:v>Scheduled</x:v>
      </x:c>
      <x:c r="D15" s="14" t="str">
        <x:v>Appointment confirmed</x:v>
      </x:c>
      <x:c r="E15" s="14" t="str">
        <x:v>Appointment fields</x:v>
      </x:c>
      <x:c r="F15" s="14" t="str">
        <x:v>Referral Coordinator</x:v>
      </x:c>
      <x:c r="G15" s="14" t="str">
        <x:v>No</x:v>
      </x:c>
      <x:c r="H15" s="87" t="str">
        <x:v>Approved</x:v>
      </x:c>
    </x:row>
    <x:row r="16">
      <x:c r="A16" s="14" t="str">
        <x:v>TRN-12</x:v>
      </x:c>
      <x:c r="B16" s="14" t="str">
        <x:v>Outreach in Progress</x:v>
      </x:c>
      <x:c r="C16" s="14" t="str">
        <x:v>Closed—Not Completed</x:v>
      </x:c>
      <x:c r="D16" s="14" t="str">
        <x:v>Outreach protocol exhausted or barrier confirmed</x:v>
      </x:c>
      <x:c r="E16" s="14" t="str">
        <x:v>Closure reason; approval</x:v>
      </x:c>
      <x:c r="F16" s="14" t="str">
        <x:v>Referral Manager</x:v>
      </x:c>
      <x:c r="G16" s="14" t="str">
        <x:v>Yes</x:v>
      </x:c>
      <x:c r="H16" s="87" t="str">
        <x:v>Approved</x:v>
      </x:c>
    </x:row>
    <x:row r="17">
      <x:c r="A17" s="14" t="str">
        <x:v>TRN-13</x:v>
      </x:c>
      <x:c r="B17" s="14" t="str">
        <x:v>Outreach in Progress</x:v>
      </x:c>
      <x:c r="C17" s="14" t="str">
        <x:v>Cancelled</x:v>
      </x:c>
      <x:c r="D17" s="14" t="str">
        <x:v>Cancellation authorized</x:v>
      </x:c>
      <x:c r="E17" s="14" t="str">
        <x:v>Cancellation reason</x:v>
      </x:c>
      <x:c r="F17" s="14" t="str">
        <x:v>Referral Manager</x:v>
      </x:c>
      <x:c r="G17" s="14" t="str">
        <x:v>Yes</x:v>
      </x:c>
      <x:c r="H17" s="87" t="str">
        <x:v>Approved</x:v>
      </x:c>
    </x:row>
    <x:row r="18">
      <x:c r="A18" s="14" t="str">
        <x:v>TRN-14</x:v>
      </x:c>
      <x:c r="B18" s="14" t="str">
        <x:v>Scheduled</x:v>
      </x:c>
      <x:c r="C18" s="14" t="str">
        <x:v>Outreach in Progress</x:v>
      </x:c>
      <x:c r="D18" s="14" t="str">
        <x:v>Appointment cancelled or no-show; follow-up required</x:v>
      </x:c>
      <x:c r="E18" s="14" t="str">
        <x:v>Outcome and next action</x:v>
      </x:c>
      <x:c r="F18" s="14" t="str">
        <x:v>Referral Coordinator</x:v>
      </x:c>
      <x:c r="G18" s="14" t="str">
        <x:v>Yes</x:v>
      </x:c>
      <x:c r="H18" s="87" t="str">
        <x:v>Approved</x:v>
      </x:c>
    </x:row>
    <x:row r="19">
      <x:c r="A19" s="14" t="str">
        <x:v>TRN-15</x:v>
      </x:c>
      <x:c r="B19" s="14" t="str">
        <x:v>Scheduled</x:v>
      </x:c>
      <x:c r="C19" s="14" t="str">
        <x:v>Completed—Report Pending</x:v>
      </x:c>
      <x:c r="D19" s="14" t="str">
        <x:v>Completed appointment verified</x:v>
      </x:c>
      <x:c r="E19" s="14" t="str">
        <x:v>Outcome timestamp</x:v>
      </x:c>
      <x:c r="F19" s="14" t="str">
        <x:v>Referral Coordinator</x:v>
      </x:c>
      <x:c r="G19" s="14" t="str">
        <x:v>No</x:v>
      </x:c>
      <x:c r="H19" s="87" t="str">
        <x:v>Approved</x:v>
      </x:c>
    </x:row>
    <x:row r="20">
      <x:c r="A20" s="14" t="str">
        <x:v>TRN-16</x:v>
      </x:c>
      <x:c r="B20" s="14" t="str">
        <x:v>Scheduled</x:v>
      </x:c>
      <x:c r="C20" s="14" t="str">
        <x:v>Closed—Not Completed</x:v>
      </x:c>
      <x:c r="D20" s="14" t="str">
        <x:v>Authorized noncompletion outcome</x:v>
      </x:c>
      <x:c r="E20" s="14" t="str">
        <x:v>Closure reason; approval</x:v>
      </x:c>
      <x:c r="F20" s="14" t="str">
        <x:v>Referral Manager</x:v>
      </x:c>
      <x:c r="G20" s="14" t="str">
        <x:v>Yes</x:v>
      </x:c>
      <x:c r="H20" s="87" t="str">
        <x:v>Approved</x:v>
      </x:c>
    </x:row>
    <x:row r="21">
      <x:c r="A21" s="14" t="str">
        <x:v>TRN-17</x:v>
      </x:c>
      <x:c r="B21" s="14" t="str">
        <x:v>Scheduled</x:v>
      </x:c>
      <x:c r="C21" s="14" t="str">
        <x:v>Cancelled</x:v>
      </x:c>
      <x:c r="D21" s="14" t="str">
        <x:v>Referral cancellation authorized</x:v>
      </x:c>
      <x:c r="E21" s="14" t="str">
        <x:v>Cancellation reason</x:v>
      </x:c>
      <x:c r="F21" s="14" t="str">
        <x:v>Referral Manager</x:v>
      </x:c>
      <x:c r="G21" s="14" t="str">
        <x:v>Yes</x:v>
      </x:c>
      <x:c r="H21" s="87" t="str">
        <x:v>Approved</x:v>
      </x:c>
    </x:row>
    <x:row r="22">
      <x:c r="A22" s="14" t="str">
        <x:v>TRN-18</x:v>
      </x:c>
      <x:c r="B22" s="14" t="str">
        <x:v>Completed—Report Pending</x:v>
      </x:c>
      <x:c r="C22" s="14" t="str">
        <x:v>Closed—Completed</x:v>
      </x:c>
      <x:c r="D22" s="14" t="str">
        <x:v>Report received, routed, and reviewed</x:v>
      </x:c>
      <x:c r="E22" s="14" t="str">
        <x:v>Report ID; reviewer; review time</x:v>
      </x:c>
      <x:c r="F22" s="14" t="str">
        <x:v>Referring Clinician</x:v>
      </x:c>
      <x:c r="G22" s="14" t="str">
        <x:v>No</x:v>
      </x:c>
      <x:c r="H22" s="87" t="str">
        <x:v>Approved</x:v>
      </x:c>
    </x:row>
    <x:row r="23">
      <x:c r="A23" s="14" t="str">
        <x:v>TRN-19</x:v>
      </x:c>
      <x:c r="B23" s="14" t="str">
        <x:v>Completed—Report Pending</x:v>
      </x:c>
      <x:c r="C23" s="14" t="str">
        <x:v>Closed—Not Completed</x:v>
      </x:c>
      <x:c r="D23" s="14" t="str">
        <x:v>Report cannot be obtained after escalation</x:v>
      </x:c>
      <x:c r="E23" s="14" t="str">
        <x:v>Closure reason; approval</x:v>
      </x:c>
      <x:c r="F23" s="14" t="str">
        <x:v>Referral Manager</x:v>
      </x:c>
      <x:c r="G23" s="14" t="str">
        <x:v>Yes</x:v>
      </x:c>
      <x:c r="H23" s="87" t="str">
        <x:v>Approved</x:v>
      </x:c>
    </x:row>
  </x:sheetData>
  <x:mergeCells>
    <x:mergeCell ref="A1:H1"/>
    <x:mergeCell ref="A2:H2"/>
  </x:mergeCells>
  <x:conditionalFormatting sqref="H5:H23">
    <x:cfRule type="containsText" dxfId="9" priority="1" operator="containsText" text="Approved"/>
    <x:cfRule type="containsText" dxfId="10" priority="2" operator="containsText" text="Proposed"/>
    <x:cfRule type="containsText" dxfId="11" priority="3" operator="containsText" text="Retired"/>
  </x:conditionalFormatting>
  <x:dataValidations count="1">
    <x:dataValidation type="list" sqref="H5:H23">
      <x:formula1>"Proposed,Approved,Configured,Retired"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0c0a1979d04c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3" hidden="0" customWidth="1"/>
    <x:col min="3" max="3" width="44" hidden="0" customWidth="1"/>
    <x:col min="4" max="4" width="20" hidden="0" customWidth="1"/>
    <x:col min="5" max="5" width="20" hidden="0" customWidth="1"/>
    <x:col min="6" max="6" width="23" hidden="0" customWidth="1"/>
    <x:col min="7" max="7" width="14" hidden="0" customWidth="1"/>
    <x:col min="8" max="8" width="15" hidden="0" customWidth="1"/>
  </x:cols>
  <x:sheetData>
    <x:row r="1" ht="32" customHeight="1">
      <x:c r="A1" s="3" t="str">
        <x:v>Outreach Values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Standard outreach outcomes used for workflow routing, next-action scheduling, and operational reporting.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1" t="str">
        <x:v>Outcome ID</x:v>
      </x:c>
      <x:c r="B4" s="11" t="str">
        <x:v>Outcome Name</x:v>
      </x:c>
      <x:c r="C4" s="11" t="str">
        <x:v>Definition</x:v>
      </x:c>
      <x:c r="D4" s="11" t="str">
        <x:v>Potentially Terminal?</x:v>
      </x:c>
      <x:c r="E4" s="11" t="str">
        <x:v>Next Action Required?</x:v>
      </x:c>
      <x:c r="F4" s="11" t="str">
        <x:v>Default Next Action Hours</x:v>
      </x:c>
      <x:c r="G4" s="11" t="str">
        <x:v>Escalation?</x:v>
      </x:c>
      <x:c r="H4" s="11" t="str">
        <x:v>Config Status</x:v>
      </x:c>
    </x:row>
    <x:row r="5">
      <x:c r="A5" s="14" t="str">
        <x:v>OUT-01</x:v>
      </x:c>
      <x:c r="B5" s="14" t="str">
        <x:v>Reached</x:v>
      </x:c>
      <x:c r="C5" s="14" t="str">
        <x:v>Patient or authorized party successfully contacted</x:v>
      </x:c>
      <x:c r="D5" s="14" t="str">
        <x:v>No</x:v>
      </x:c>
      <x:c r="E5" s="14" t="str">
        <x:v>Yes</x:v>
      </x:c>
      <x:c r="F5" s="15" t="n">
        <x:v>24</x:v>
      </x:c>
      <x:c r="G5" s="14" t="str">
        <x:v>No</x:v>
      </x:c>
      <x:c r="H5" s="87" t="str">
        <x:v>Approved</x:v>
      </x:c>
    </x:row>
    <x:row r="6">
      <x:c r="A6" s="14" t="str">
        <x:v>OUT-02</x:v>
      </x:c>
      <x:c r="B6" s="14" t="str">
        <x:v>No Answer</x:v>
      </x:c>
      <x:c r="C6" s="14" t="str">
        <x:v>Call completed without answer</x:v>
      </x:c>
      <x:c r="D6" s="14" t="str">
        <x:v>No</x:v>
      </x:c>
      <x:c r="E6" s="14" t="str">
        <x:v>Yes</x:v>
      </x:c>
      <x:c r="F6" s="15" t="n">
        <x:v>48</x:v>
      </x:c>
      <x:c r="G6" s="14" t="str">
        <x:v>No</x:v>
      </x:c>
      <x:c r="H6" s="87" t="str">
        <x:v>Approved</x:v>
      </x:c>
    </x:row>
    <x:row r="7">
      <x:c r="A7" s="14" t="str">
        <x:v>OUT-03</x:v>
      </x:c>
      <x:c r="B7" s="14" t="str">
        <x:v>Voicemail Left</x:v>
      </x:c>
      <x:c r="C7" s="14" t="str">
        <x:v>Permitted voicemail was left</x:v>
      </x:c>
      <x:c r="D7" s="14" t="str">
        <x:v>No</x:v>
      </x:c>
      <x:c r="E7" s="14" t="str">
        <x:v>Yes</x:v>
      </x:c>
      <x:c r="F7" s="15" t="n">
        <x:v>48</x:v>
      </x:c>
      <x:c r="G7" s="14" t="str">
        <x:v>No</x:v>
      </x:c>
      <x:c r="H7" s="87" t="str">
        <x:v>Approved</x:v>
      </x:c>
    </x:row>
    <x:row r="8">
      <x:c r="A8" s="14" t="str">
        <x:v>OUT-04</x:v>
      </x:c>
      <x:c r="B8" s="14" t="str">
        <x:v>Invalid Contact</x:v>
      </x:c>
      <x:c r="C8" s="14" t="str">
        <x:v>Contact information is invalid</x:v>
      </x:c>
      <x:c r="D8" s="14" t="str">
        <x:v>No</x:v>
      </x:c>
      <x:c r="E8" s="14" t="str">
        <x:v>Yes</x:v>
      </x:c>
      <x:c r="F8" s="15" t="n">
        <x:v>24</x:v>
      </x:c>
      <x:c r="G8" s="14" t="str">
        <x:v>Yes</x:v>
      </x:c>
      <x:c r="H8" s="87" t="str">
        <x:v>Approved</x:v>
      </x:c>
    </x:row>
    <x:row r="9">
      <x:c r="A9" s="14" t="str">
        <x:v>OUT-05</x:v>
      </x:c>
      <x:c r="B9" s="14" t="str">
        <x:v>Callback Requested</x:v>
      </x:c>
      <x:c r="C9" s="14" t="str">
        <x:v>Contact requested another attempt</x:v>
      </x:c>
      <x:c r="D9" s="14" t="str">
        <x:v>No</x:v>
      </x:c>
      <x:c r="E9" s="14" t="str">
        <x:v>Yes</x:v>
      </x:c>
      <x:c r="F9" s="15" t="n">
        <x:v>24</x:v>
      </x:c>
      <x:c r="G9" s="14" t="str">
        <x:v>No</x:v>
      </x:c>
      <x:c r="H9" s="87" t="str">
        <x:v>Approved</x:v>
      </x:c>
    </x:row>
    <x:row r="10">
      <x:c r="A10" s="14" t="str">
        <x:v>OUT-06</x:v>
      </x:c>
      <x:c r="B10" s="14" t="str">
        <x:v>Declined</x:v>
      </x:c>
      <x:c r="C10" s="14" t="str">
        <x:v>Patient declines referral service</x:v>
      </x:c>
      <x:c r="D10" s="14" t="str">
        <x:v>Potential</x:v>
      </x:c>
      <x:c r="E10" s="14" t="str">
        <x:v>No</x:v>
      </x:c>
      <x:c r="F10" s="15" t="n">
        <x:v>0</x:v>
      </x:c>
      <x:c r="G10" s="14" t="str">
        <x:v>Yes</x:v>
      </x:c>
      <x:c r="H10" s="87" t="str">
        <x:v>Approved</x:v>
      </x:c>
    </x:row>
    <x:row r="11">
      <x:c r="A11" s="14" t="str">
        <x:v>OUT-07</x:v>
      </x:c>
      <x:c r="B11" s="14" t="str">
        <x:v>Already Scheduled</x:v>
      </x:c>
      <x:c r="C11" s="14" t="str">
        <x:v>Appointment already exists</x:v>
      </x:c>
      <x:c r="D11" s="14" t="str">
        <x:v>Potential</x:v>
      </x:c>
      <x:c r="E11" s="14" t="str">
        <x:v>No</x:v>
      </x:c>
      <x:c r="F11" s="15" t="n">
        <x:v>0</x:v>
      </x:c>
      <x:c r="G11" s="14" t="str">
        <x:v>No</x:v>
      </x:c>
      <x:c r="H11" s="87" t="str">
        <x:v>Approved</x:v>
      </x:c>
    </x:row>
    <x:row r="12">
      <x:c r="A12" s="14" t="str">
        <x:v>OUT-08</x:v>
      </x:c>
      <x:c r="B12" s="14" t="str">
        <x:v>Support Needed</x:v>
      </x:c>
      <x:c r="C12" s="14" t="str">
        <x:v>Transportation, language, financial, or access support needed</x:v>
      </x:c>
      <x:c r="D12" s="14" t="str">
        <x:v>No</x:v>
      </x:c>
      <x:c r="E12" s="14" t="str">
        <x:v>Yes</x:v>
      </x:c>
      <x:c r="F12" s="15" t="n">
        <x:v>24</x:v>
      </x:c>
      <x:c r="G12" s="14" t="str">
        <x:v>Yes</x:v>
      </x:c>
      <x:c r="H12" s="87" t="str">
        <x:v>Approved</x:v>
      </x:c>
    </x:row>
    <x:row r="13">
      <x:c r="A13" s="14" t="str">
        <x:v>OUT-09</x:v>
      </x:c>
      <x:c r="B13" s="14" t="str">
        <x:v>Other</x:v>
      </x:c>
      <x:c r="C13" s="14" t="str">
        <x:v>Outcome not represented by standard values</x:v>
      </x:c>
      <x:c r="D13" s="14" t="str">
        <x:v>No</x:v>
      </x:c>
      <x:c r="E13" s="14" t="str">
        <x:v>Yes</x:v>
      </x:c>
      <x:c r="F13" s="15" t="n">
        <x:v>24</x:v>
      </x:c>
      <x:c r="G13" s="14" t="str">
        <x:v>No</x:v>
      </x:c>
      <x:c r="H13" s="87" t="str">
        <x:v>Proposed</x:v>
      </x:c>
    </x:row>
  </x:sheetData>
  <x:mergeCells>
    <x:mergeCell ref="A1:H1"/>
    <x:mergeCell ref="A2:H2"/>
  </x:mergeCells>
  <x:conditionalFormatting sqref="H5:H13">
    <x:cfRule type="containsText" dxfId="12" priority="1" operator="containsText" text="Approved"/>
    <x:cfRule type="containsText" dxfId="13" priority="2" operator="containsText" text="Proposed"/>
    <x:cfRule type="containsText" dxfId="14" priority="3" operator="containsText" text="Retired"/>
  </x:conditionalFormatting>
  <x:dataValidations count="1">
    <x:dataValidation type="list" sqref="H5:H13">
      <x:formula1>"Proposed,Approved,Configured,Retired"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fcccada98241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34" hidden="0" customWidth="1"/>
    <x:col min="4" max="4" width="24" hidden="0" customWidth="1"/>
    <x:col min="5" max="5" width="20" hidden="0" customWidth="1"/>
    <x:col min="6" max="6" width="20" hidden="0" customWidth="1"/>
    <x:col min="7" max="7" width="43" hidden="0" customWidth="1"/>
    <x:col min="8" max="8" width="15" hidden="0" customWidth="1"/>
  </x:cols>
  <x:sheetData>
    <x:row r="1" ht="32" customHeight="1">
      <x:c r="A1" s="3" t="str">
        <x:v>Closure Reasons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Controlled closure reasons prevent silent referral leakage and define documentation and approval requirements.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1" t="str">
        <x:v>Reason ID</x:v>
      </x:c>
      <x:c r="B4" s="11" t="str">
        <x:v>Closure Category</x:v>
      </x:c>
      <x:c r="C4" s="11" t="str">
        <x:v>Closure Reason</x:v>
      </x:c>
      <x:c r="D4" s="11" t="str">
        <x:v>Allowed Final Status</x:v>
      </x:c>
      <x:c r="E4" s="11" t="str">
        <x:v>Clinician Approval?</x:v>
      </x:c>
      <x:c r="F4" s="11" t="str">
        <x:v>Manager Approval?</x:v>
      </x:c>
      <x:c r="G4" s="11" t="str">
        <x:v>Required Documentation</x:v>
      </x:c>
      <x:c r="H4" s="11" t="str">
        <x:v>Config Status</x:v>
      </x:c>
    </x:row>
    <x:row r="5">
      <x:c r="A5" s="14" t="str">
        <x:v>CLR-01</x:v>
      </x:c>
      <x:c r="B5" s="14" t="str">
        <x:v>Completed</x:v>
      </x:c>
      <x:c r="C5" s="14" t="str">
        <x:v>Consultation completed and report reviewed</x:v>
      </x:c>
      <x:c r="D5" s="14" t="str">
        <x:v>Closed—Completed</x:v>
      </x:c>
      <x:c r="E5" s="14" t="str">
        <x:v>No</x:v>
      </x:c>
      <x:c r="F5" s="14" t="str">
        <x:v>No</x:v>
      </x:c>
      <x:c r="G5" s="14" t="str">
        <x:v>Consult report and review timestamp</x:v>
      </x:c>
      <x:c r="H5" s="87" t="str">
        <x:v>Approved</x:v>
      </x:c>
    </x:row>
    <x:row r="6">
      <x:c r="A6" s="14" t="str">
        <x:v>CLR-02</x:v>
      </x:c>
      <x:c r="B6" s="14" t="str">
        <x:v>Not Completed</x:v>
      </x:c>
      <x:c r="C6" s="14" t="str">
        <x:v>Patient Declined</x:v>
      </x:c>
      <x:c r="D6" s="14" t="str">
        <x:v>Closed—Not Completed</x:v>
      </x:c>
      <x:c r="E6" s="14" t="str">
        <x:v>No</x:v>
      </x:c>
      <x:c r="F6" s="14" t="str">
        <x:v>Yes</x:v>
      </x:c>
      <x:c r="G6" s="14" t="str">
        <x:v>Documented decline and contact evidence</x:v>
      </x:c>
      <x:c r="H6" s="87" t="str">
        <x:v>Approved</x:v>
      </x:c>
    </x:row>
    <x:row r="7">
      <x:c r="A7" s="14" t="str">
        <x:v>CLR-03</x:v>
      </x:c>
      <x:c r="B7" s="14" t="str">
        <x:v>Not Completed</x:v>
      </x:c>
      <x:c r="C7" s="14" t="str">
        <x:v>Unable to Contact After Protocol</x:v>
      </x:c>
      <x:c r="D7" s="14" t="str">
        <x:v>Closed—Not Completed</x:v>
      </x:c>
      <x:c r="E7" s="14" t="str">
        <x:v>No</x:v>
      </x:c>
      <x:c r="F7" s="14" t="str">
        <x:v>Yes</x:v>
      </x:c>
      <x:c r="G7" s="14" t="str">
        <x:v>Required outreach attempts and dates</x:v>
      </x:c>
      <x:c r="H7" s="87" t="str">
        <x:v>Approved</x:v>
      </x:c>
    </x:row>
    <x:row r="8">
      <x:c r="A8" s="14" t="str">
        <x:v>CLR-04</x:v>
      </x:c>
      <x:c r="B8" s="14" t="str">
        <x:v>Not Completed</x:v>
      </x:c>
      <x:c r="C8" s="14" t="str">
        <x:v>No Longer Clinically Indicated</x:v>
      </x:c>
      <x:c r="D8" s="14" t="str">
        <x:v>Closed—Not Completed</x:v>
      </x:c>
      <x:c r="E8" s="14" t="str">
        <x:v>Yes</x:v>
      </x:c>
      <x:c r="F8" s="14" t="str">
        <x:v>No</x:v>
      </x:c>
      <x:c r="G8" s="14" t="str">
        <x:v>Clinician decision note</x:v>
      </x:c>
      <x:c r="H8" s="87" t="str">
        <x:v>Approved</x:v>
      </x:c>
    </x:row>
    <x:row r="9">
      <x:c r="A9" s="14" t="str">
        <x:v>CLR-05</x:v>
      </x:c>
      <x:c r="B9" s="14" t="str">
        <x:v>Not Completed</x:v>
      </x:c>
      <x:c r="C9" s="14" t="str">
        <x:v>Transferred Care</x:v>
      </x:c>
      <x:c r="D9" s="14" t="str">
        <x:v>Closed—Not Completed</x:v>
      </x:c>
      <x:c r="E9" s="14" t="str">
        <x:v>Yes</x:v>
      </x:c>
      <x:c r="F9" s="14" t="str">
        <x:v>No</x:v>
      </x:c>
      <x:c r="G9" s="14" t="str">
        <x:v>Destination or transfer note</x:v>
      </x:c>
      <x:c r="H9" s="87" t="str">
        <x:v>Approved</x:v>
      </x:c>
    </x:row>
    <x:row r="10">
      <x:c r="A10" s="14" t="str">
        <x:v>CLR-06</x:v>
      </x:c>
      <x:c r="B10" s="14" t="str">
        <x:v>Not Completed</x:v>
      </x:c>
      <x:c r="C10" s="14" t="str">
        <x:v>Patient Moved</x:v>
      </x:c>
      <x:c r="D10" s="14" t="str">
        <x:v>Closed—Not Completed</x:v>
      </x:c>
      <x:c r="E10" s="14" t="str">
        <x:v>No</x:v>
      </x:c>
      <x:c r="F10" s="14" t="str">
        <x:v>Yes</x:v>
      </x:c>
      <x:c r="G10" s="14" t="str">
        <x:v>Contact or demographic evidence</x:v>
      </x:c>
      <x:c r="H10" s="87" t="str">
        <x:v>Approved</x:v>
      </x:c>
    </x:row>
    <x:row r="11">
      <x:c r="A11" s="14" t="str">
        <x:v>CLR-07</x:v>
      </x:c>
      <x:c r="B11" s="14" t="str">
        <x:v>Cancelled</x:v>
      </x:c>
      <x:c r="C11" s="14" t="str">
        <x:v>Duplicate Referral</x:v>
      </x:c>
      <x:c r="D11" s="14" t="str">
        <x:v>Cancelled</x:v>
      </x:c>
      <x:c r="E11" s="14" t="str">
        <x:v>No</x:v>
      </x:c>
      <x:c r="F11" s="14" t="str">
        <x:v>No</x:v>
      </x:c>
      <x:c r="G11" s="14" t="str">
        <x:v>Duplicate referral ID</x:v>
      </x:c>
      <x:c r="H11" s="87" t="str">
        <x:v>Approved</x:v>
      </x:c>
    </x:row>
    <x:row r="12">
      <x:c r="A12" s="14" t="str">
        <x:v>CLR-08</x:v>
      </x:c>
      <x:c r="B12" s="14" t="str">
        <x:v>Not Completed</x:v>
      </x:c>
      <x:c r="C12" s="14" t="str">
        <x:v>Insurance or Access Barrier</x:v>
      </x:c>
      <x:c r="D12" s="14" t="str">
        <x:v>Closed—Not Completed</x:v>
      </x:c>
      <x:c r="E12" s="14" t="str">
        <x:v>No</x:v>
      </x:c>
      <x:c r="F12" s="14" t="str">
        <x:v>Yes</x:v>
      </x:c>
      <x:c r="G12" s="14" t="str">
        <x:v>Barrier and mitigation attempts</x:v>
      </x:c>
      <x:c r="H12" s="87" t="str">
        <x:v>Approved</x:v>
      </x:c>
    </x:row>
    <x:row r="13">
      <x:c r="A13" s="14" t="str">
        <x:v>CLR-09</x:v>
      </x:c>
      <x:c r="B13" s="14" t="str">
        <x:v>Not Completed</x:v>
      </x:c>
      <x:c r="C13" s="14" t="str">
        <x:v>Patient Chose Another Provider</x:v>
      </x:c>
      <x:c r="D13" s="14" t="str">
        <x:v>Closed—Not Completed</x:v>
      </x:c>
      <x:c r="E13" s="14" t="str">
        <x:v>No</x:v>
      </x:c>
      <x:c r="F13" s="14" t="str">
        <x:v>Yes</x:v>
      </x:c>
      <x:c r="G13" s="14" t="str">
        <x:v>Patient confirmation or provider detail</x:v>
      </x:c>
      <x:c r="H13" s="87" t="str">
        <x:v>Approved</x:v>
      </x:c>
    </x:row>
    <x:row r="14">
      <x:c r="A14" s="14" t="str">
        <x:v>CLR-10</x:v>
      </x:c>
      <x:c r="B14" s="14" t="str">
        <x:v>Not Completed</x:v>
      </x:c>
      <x:c r="C14" s="14" t="str">
        <x:v>Other Authorized Reason</x:v>
      </x:c>
      <x:c r="D14" s="14" t="str">
        <x:v>Closed—Not Completed</x:v>
      </x:c>
      <x:c r="E14" s="14" t="str">
        <x:v>Conditional</x:v>
      </x:c>
      <x:c r="F14" s="14" t="str">
        <x:v>Yes</x:v>
      </x:c>
      <x:c r="G14" s="14" t="str">
        <x:v>Free-text rationale</x:v>
      </x:c>
      <x:c r="H14" s="87" t="str">
        <x:v>Proposed</x:v>
      </x:c>
    </x:row>
  </x:sheetData>
  <x:mergeCells>
    <x:mergeCell ref="A1:H1"/>
    <x:mergeCell ref="A2:H2"/>
  </x:mergeCells>
  <x:conditionalFormatting sqref="H5:H14">
    <x:cfRule type="containsText" dxfId="15" priority="1" operator="containsText" text="Approved"/>
    <x:cfRule type="containsText" dxfId="16" priority="2" operator="containsText" text="Proposed"/>
    <x:cfRule type="containsText" dxfId="17" priority="3" operator="containsText" text="Retired"/>
  </x:conditionalFormatting>
  <x:dataValidations count="1">
    <x:dataValidation type="list" sqref="H5:H14">
      <x:formula1>"Proposed,Approved,Configured,Retired"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72b2601fe74b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7" hidden="0" customWidth="1"/>
    <x:col min="4" max="4" width="18" hidden="0" customWidth="1"/>
    <x:col min="5" max="5" width="16" hidden="0" customWidth="1"/>
    <x:col min="6" max="6" width="17" hidden="0" customWidth="1"/>
    <x:col min="7" max="7" width="17" hidden="0" customWidth="1"/>
    <x:col min="8" max="8" width="17" hidden="0" customWidth="1"/>
    <x:col min="9" max="9" width="19" hidden="0" customWidth="1"/>
    <x:col min="10" max="10" width="20" hidden="0" customWidth="1"/>
    <x:col min="11" max="11" width="16" hidden="0" customWidth="1"/>
  </x:cols>
  <x:sheetData>
    <x:row r="1" ht="32" customHeight="1">
      <x:c r="A1" s="3" t="str">
        <x:v>Roles Permissions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7" t="str">
        <x:v>Role-based access model. “Read” means view-only; “Limited” and “De-identified” require scoped access controls.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11" t="str">
        <x:v>Role</x:v>
      </x:c>
      <x:c r="B4" s="11" t="str">
        <x:v>View Referrals</x:v>
      </x:c>
      <x:c r="C4" s="11" t="str">
        <x:v>Update Outreach</x:v>
      </x:c>
      <x:c r="D4" s="11" t="str">
        <x:v>Update Scheduling</x:v>
      </x:c>
      <x:c r="E4" s="11" t="str">
        <x:v>Change Priority</x:v>
      </x:c>
      <x:c r="F4" s="11" t="str">
        <x:v>Reassign Work</x:v>
      </x:c>
      <x:c r="G4" s="11" t="str">
        <x:v>Review Reports</x:v>
      </x:c>
      <x:c r="H4" s="11" t="str">
        <x:v>Configure Rules</x:v>
      </x:c>
      <x:c r="I4" s="11" t="str">
        <x:v>Resolve Exceptions</x:v>
      </x:c>
      <x:c r="J4" s="11" t="str">
        <x:v>Aggregate Analytics</x:v>
      </x:c>
      <x:c r="K4" s="11" t="str">
        <x:v>Audit History</x:v>
      </x:c>
    </x:row>
    <x:row r="5">
      <x:c r="A5" s="14" t="str">
        <x:v>Referral Coordinator</x:v>
      </x:c>
      <x:c r="B5" s="14" t="str">
        <x:v>Yes</x:v>
      </x:c>
      <x:c r="C5" s="14" t="str">
        <x:v>Yes</x:v>
      </x:c>
      <x:c r="D5" s="14" t="str">
        <x:v>Yes</x:v>
      </x:c>
      <x:c r="E5" s="14" t="str">
        <x:v>No</x:v>
      </x:c>
      <x:c r="F5" s="14" t="str">
        <x:v>No</x:v>
      </x:c>
      <x:c r="G5" s="14" t="str">
        <x:v>No</x:v>
      </x:c>
      <x:c r="H5" s="14" t="str">
        <x:v>No</x:v>
      </x:c>
      <x:c r="I5" s="14" t="str">
        <x:v>No</x:v>
      </x:c>
      <x:c r="J5" s="14" t="str">
        <x:v>Yes</x:v>
      </x:c>
      <x:c r="K5" s="14" t="str">
        <x:v>Yes</x:v>
      </x:c>
    </x:row>
    <x:row r="6">
      <x:c r="A6" s="14" t="str">
        <x:v>Referral Manager</x:v>
      </x:c>
      <x:c r="B6" s="14" t="str">
        <x:v>Yes</x:v>
      </x:c>
      <x:c r="C6" s="14" t="str">
        <x:v>Yes</x:v>
      </x:c>
      <x:c r="D6" s="14" t="str">
        <x:v>Yes</x:v>
      </x:c>
      <x:c r="E6" s="14" t="str">
        <x:v>Yes</x:v>
      </x:c>
      <x:c r="F6" s="14" t="str">
        <x:v>Yes</x:v>
      </x:c>
      <x:c r="G6" s="14" t="str">
        <x:v>No</x:v>
      </x:c>
      <x:c r="H6" s="14" t="str">
        <x:v>No</x:v>
      </x:c>
      <x:c r="I6" s="14" t="str">
        <x:v>No</x:v>
      </x:c>
      <x:c r="J6" s="14" t="str">
        <x:v>Yes</x:v>
      </x:c>
      <x:c r="K6" s="14" t="str">
        <x:v>Yes</x:v>
      </x:c>
    </x:row>
    <x:row r="7">
      <x:c r="A7" s="14" t="str">
        <x:v>Referring Clinician</x:v>
      </x:c>
      <x:c r="B7" s="14" t="str">
        <x:v>Yes</x:v>
      </x:c>
      <x:c r="C7" s="14" t="str">
        <x:v>Read</x:v>
      </x:c>
      <x:c r="D7" s="14" t="str">
        <x:v>Read</x:v>
      </x:c>
      <x:c r="E7" s="14" t="str">
        <x:v>Yes</x:v>
      </x:c>
      <x:c r="F7" s="14" t="str">
        <x:v>No</x:v>
      </x:c>
      <x:c r="G7" s="14" t="str">
        <x:v>Yes</x:v>
      </x:c>
      <x:c r="H7" s="14" t="str">
        <x:v>No</x:v>
      </x:c>
      <x:c r="I7" s="14" t="str">
        <x:v>No</x:v>
      </x:c>
      <x:c r="J7" s="14" t="str">
        <x:v>Yes</x:v>
      </x:c>
      <x:c r="K7" s="14" t="str">
        <x:v>Yes</x:v>
      </x:c>
    </x:row>
    <x:row r="8">
      <x:c r="A8" s="14" t="str">
        <x:v>Practice Manager</x:v>
      </x:c>
      <x:c r="B8" s="14" t="str">
        <x:v>Yes</x:v>
      </x:c>
      <x:c r="C8" s="14" t="str">
        <x:v>Read</x:v>
      </x:c>
      <x:c r="D8" s="14" t="str">
        <x:v>Read</x:v>
      </x:c>
      <x:c r="E8" s="14" t="str">
        <x:v>Yes</x:v>
      </x:c>
      <x:c r="F8" s="14" t="str">
        <x:v>Yes</x:v>
      </x:c>
      <x:c r="G8" s="14" t="str">
        <x:v>Read</x:v>
      </x:c>
      <x:c r="H8" s="14" t="str">
        <x:v>No</x:v>
      </x:c>
      <x:c r="I8" s="14" t="str">
        <x:v>No</x:v>
      </x:c>
      <x:c r="J8" s="14" t="str">
        <x:v>Yes</x:v>
      </x:c>
      <x:c r="K8" s="14" t="str">
        <x:v>Yes</x:v>
      </x:c>
    </x:row>
    <x:row r="9">
      <x:c r="A9" s="14" t="str">
        <x:v>Medical Director</x:v>
      </x:c>
      <x:c r="B9" s="14" t="str">
        <x:v>Yes</x:v>
      </x:c>
      <x:c r="C9" s="14" t="str">
        <x:v>Read</x:v>
      </x:c>
      <x:c r="D9" s="14" t="str">
        <x:v>Read</x:v>
      </x:c>
      <x:c r="E9" s="14" t="str">
        <x:v>Yes</x:v>
      </x:c>
      <x:c r="F9" s="14" t="str">
        <x:v>Yes</x:v>
      </x:c>
      <x:c r="G9" s="14" t="str">
        <x:v>Yes</x:v>
      </x:c>
      <x:c r="H9" s="14" t="str">
        <x:v>No</x:v>
      </x:c>
      <x:c r="I9" s="14" t="str">
        <x:v>No</x:v>
      </x:c>
      <x:c r="J9" s="14" t="str">
        <x:v>Yes</x:v>
      </x:c>
      <x:c r="K9" s="14" t="str">
        <x:v>Yes</x:v>
      </x:c>
    </x:row>
    <x:row r="10">
      <x:c r="A10" s="14" t="str">
        <x:v>Health IT Support</x:v>
      </x:c>
      <x:c r="B10" s="14" t="str">
        <x:v>Limited</x:v>
      </x:c>
      <x:c r="C10" s="14" t="str">
        <x:v>No</x:v>
      </x:c>
      <x:c r="D10" s="14" t="str">
        <x:v>No</x:v>
      </x:c>
      <x:c r="E10" s="14" t="str">
        <x:v>No</x:v>
      </x:c>
      <x:c r="F10" s="14" t="str">
        <x:v>No</x:v>
      </x:c>
      <x:c r="G10" s="14" t="str">
        <x:v>No</x:v>
      </x:c>
      <x:c r="H10" s="14" t="str">
        <x:v>No</x:v>
      </x:c>
      <x:c r="I10" s="14" t="str">
        <x:v>Yes</x:v>
      </x:c>
      <x:c r="J10" s="14" t="str">
        <x:v>Limited</x:v>
      </x:c>
      <x:c r="K10" s="14" t="str">
        <x:v>Yes</x:v>
      </x:c>
    </x:row>
    <x:row r="11">
      <x:c r="A11" s="14" t="str">
        <x:v>Data Analyst</x:v>
      </x:c>
      <x:c r="B11" s="14" t="str">
        <x:v>De-identified</x:v>
      </x:c>
      <x:c r="C11" s="14" t="str">
        <x:v>No</x:v>
      </x:c>
      <x:c r="D11" s="14" t="str">
        <x:v>No</x:v>
      </x:c>
      <x:c r="E11" s="14" t="str">
        <x:v>No</x:v>
      </x:c>
      <x:c r="F11" s="14" t="str">
        <x:v>No</x:v>
      </x:c>
      <x:c r="G11" s="14" t="str">
        <x:v>No</x:v>
      </x:c>
      <x:c r="H11" s="14" t="str">
        <x:v>No</x:v>
      </x:c>
      <x:c r="I11" s="14" t="str">
        <x:v>No</x:v>
      </x:c>
      <x:c r="J11" s="14" t="str">
        <x:v>Yes</x:v>
      </x:c>
      <x:c r="K11" s="14" t="str">
        <x:v>Limited</x:v>
      </x:c>
    </x:row>
    <x:row r="12">
      <x:c r="A12" s="14" t="str">
        <x:v>System Administrator</x:v>
      </x:c>
      <x:c r="B12" s="14" t="str">
        <x:v>Limited</x:v>
      </x:c>
      <x:c r="C12" s="14" t="str">
        <x:v>No</x:v>
      </x:c>
      <x:c r="D12" s="14" t="str">
        <x:v>No</x:v>
      </x:c>
      <x:c r="E12" s="14" t="str">
        <x:v>No</x:v>
      </x:c>
      <x:c r="F12" s="14" t="str">
        <x:v>No</x:v>
      </x:c>
      <x:c r="G12" s="14" t="str">
        <x:v>No</x:v>
      </x:c>
      <x:c r="H12" s="14" t="str">
        <x:v>Yes</x:v>
      </x:c>
      <x:c r="I12" s="14" t="str">
        <x:v>Yes</x:v>
      </x:c>
      <x:c r="J12" s="14" t="str">
        <x:v>Limited</x:v>
      </x:c>
      <x:c r="K12" s="14" t="str">
        <x:v>Yes</x:v>
      </x:c>
    </x:row>
    <x:row r="13">
      <x:c r="A13" s="14" t="str">
        <x:v>Auditor</x:v>
      </x:c>
      <x:c r="B13" s="14" t="str">
        <x:v>Read</x:v>
      </x:c>
      <x:c r="C13" s="14" t="str">
        <x:v>No</x:v>
      </x:c>
      <x:c r="D13" s="14" t="str">
        <x:v>No</x:v>
      </x:c>
      <x:c r="E13" s="14" t="str">
        <x:v>No</x:v>
      </x:c>
      <x:c r="F13" s="14" t="str">
        <x:v>No</x:v>
      </x:c>
      <x:c r="G13" s="14" t="str">
        <x:v>Read</x:v>
      </x:c>
      <x:c r="H13" s="14" t="str">
        <x:v>No</x:v>
      </x:c>
      <x:c r="I13" s="14" t="str">
        <x:v>No</x:v>
      </x:c>
      <x:c r="J13" s="14" t="str">
        <x:v>Yes</x:v>
      </x:c>
      <x:c r="K13" s="14" t="str">
        <x:v>Yes</x:v>
      </x:c>
    </x:row>
  </x:sheetData>
  <x:mergeCells>
    <x:mergeCell ref="A1:K1"/>
    <x:mergeCell ref="A2:K2"/>
  </x:mergeCells>
  <x:conditionalFormatting sqref="B5:K13">
    <x:cfRule type="containsText" dxfId="18" priority="1" operator="containsText" text="Yes"/>
    <x:cfRule type="containsText" dxfId="19" priority="2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12c65613195f4a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8" hidden="0" customWidth="1"/>
    <x:col min="3" max="3" width="20" hidden="0" customWidth="1"/>
    <x:col min="4" max="4" width="13" hidden="0" customWidth="1"/>
    <x:col min="5" max="5" width="20" hidden="0" customWidth="1"/>
    <x:col min="6" max="6" width="18" hidden="0" customWidth="1"/>
    <x:col min="7" max="7" width="24" hidden="0" customWidth="1"/>
    <x:col min="8" max="8" width="18" hidden="0" customWidth="1"/>
    <x:col min="9" max="9" width="15" hidden="0" customWidth="1"/>
  </x:cols>
  <x:sheetData>
    <x:row r="1" ht="32" customHeight="1">
      <x:c r="A1" s="3" t="str">
        <x:v>Validation Rules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Data-quality and workflow controls aligned to the 20-rule SQL validation suite that passed with zero failures.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1" t="str">
        <x:v>Rule ID</x:v>
      </x:c>
      <x:c r="B4" s="11" t="str">
        <x:v>Rule Definition</x:v>
      </x:c>
      <x:c r="C4" s="11" t="str">
        <x:v>Domain</x:v>
      </x:c>
      <x:c r="D4" s="11" t="str">
        <x:v>Severity</x:v>
      </x:c>
      <x:c r="E4" s="11" t="str">
        <x:v>Enforcement</x:v>
      </x:c>
      <x:c r="F4" s="11" t="str">
        <x:v>Workflow Effect</x:v>
      </x:c>
      <x:c r="G4" s="11" t="str">
        <x:v>Owner</x:v>
      </x:c>
      <x:c r="H4" s="11" t="str">
        <x:v>Evidence</x:v>
      </x:c>
      <x:c r="I4" s="11" t="str">
        <x:v>Config Status</x:v>
      </x:c>
    </x:row>
    <x:row r="5">
      <x:c r="A5" s="14" t="str">
        <x:v>DQ-001</x:v>
      </x:c>
      <x:c r="B5" s="14" t="str">
        <x:v>Patient IDs match required format</x:v>
      </x:c>
      <x:c r="C5" s="14" t="str">
        <x:v>Patient</x:v>
      </x:c>
      <x:c r="D5" s="14" t="str">
        <x:v>Error</x:v>
      </x:c>
      <x:c r="E5" s="14" t="str">
        <x:v>Database CHECK</x:v>
      </x:c>
      <x:c r="F5" s="14" t="str">
        <x:v>Blocking</x:v>
      </x:c>
      <x:c r="G5" s="14" t="str">
        <x:v>Health IT Support</x:v>
      </x:c>
      <x:c r="H5" s="14" t="str">
        <x:v>Automated SQL</x:v>
      </x:c>
      <x:c r="I5" s="87" t="str">
        <x:v>Approved</x:v>
      </x:c>
    </x:row>
    <x:row r="6">
      <x:c r="A6" s="14" t="str">
        <x:v>DQ-002</x:v>
      </x:c>
      <x:c r="B6" s="14" t="str">
        <x:v>Patient date of birth is not in the future</x:v>
      </x:c>
      <x:c r="C6" s="14" t="str">
        <x:v>Patient</x:v>
      </x:c>
      <x:c r="D6" s="14" t="str">
        <x:v>Error</x:v>
      </x:c>
      <x:c r="E6" s="14" t="str">
        <x:v>SQL validation</x:v>
      </x:c>
      <x:c r="F6" s="14" t="str">
        <x:v>Blocking</x:v>
      </x:c>
      <x:c r="G6" s="14" t="str">
        <x:v>Health IT Support</x:v>
      </x:c>
      <x:c r="H6" s="14" t="str">
        <x:v>Automated SQL</x:v>
      </x:c>
      <x:c r="I6" s="87" t="str">
        <x:v>Approved</x:v>
      </x:c>
    </x:row>
    <x:row r="7">
      <x:c r="A7" s="14" t="str">
        <x:v>DQ-003</x:v>
      </x:c>
      <x:c r="B7" s="14" t="str">
        <x:v>Active patient has at least one contact method</x:v>
      </x:c>
      <x:c r="C7" s="14" t="str">
        <x:v>Patient</x:v>
      </x:c>
      <x:c r="D7" s="14" t="str">
        <x:v>Warning</x:v>
      </x:c>
      <x:c r="E7" s="14" t="str">
        <x:v>SQL validation</x:v>
      </x:c>
      <x:c r="F7" s="14" t="str">
        <x:v>Nonblocking</x:v>
      </x:c>
      <x:c r="G7" s="14" t="str">
        <x:v>Referral Coordinator</x:v>
      </x:c>
      <x:c r="H7" s="14" t="str">
        <x:v>Automated SQL</x:v>
      </x:c>
      <x:c r="I7" s="87" t="str">
        <x:v>Approved</x:v>
      </x:c>
    </x:row>
    <x:row r="8">
      <x:c r="A8" s="14" t="str">
        <x:v>DQ-004</x:v>
      </x:c>
      <x:c r="B8" s="14" t="str">
        <x:v>Referral IDs match required format</x:v>
      </x:c>
      <x:c r="C8" s="14" t="str">
        <x:v>Referral</x:v>
      </x:c>
      <x:c r="D8" s="14" t="str">
        <x:v>Error</x:v>
      </x:c>
      <x:c r="E8" s="14" t="str">
        <x:v>Database CHECK</x:v>
      </x:c>
      <x:c r="F8" s="14" t="str">
        <x:v>Blocking</x:v>
      </x:c>
      <x:c r="G8" s="14" t="str">
        <x:v>Health IT Support</x:v>
      </x:c>
      <x:c r="H8" s="14" t="str">
        <x:v>Automated SQL</x:v>
      </x:c>
      <x:c r="I8" s="87" t="str">
        <x:v>Approved</x:v>
      </x:c>
    </x:row>
    <x:row r="9">
      <x:c r="A9" s="14" t="str">
        <x:v>DQ-005</x:v>
      </x:c>
      <x:c r="B9" s="14" t="str">
        <x:v>Referral received time is not before order time</x:v>
      </x:c>
      <x:c r="C9" s="14" t="str">
        <x:v>Referral</x:v>
      </x:c>
      <x:c r="D9" s="14" t="str">
        <x:v>Error</x:v>
      </x:c>
      <x:c r="E9" s="14" t="str">
        <x:v>Database CHECK</x:v>
      </x:c>
      <x:c r="F9" s="14" t="str">
        <x:v>Blocking</x:v>
      </x:c>
      <x:c r="G9" s="14" t="str">
        <x:v>Health IT Support</x:v>
      </x:c>
      <x:c r="H9" s="14" t="str">
        <x:v>Automated SQL</x:v>
      </x:c>
      <x:c r="I9" s="87" t="str">
        <x:v>Approved</x:v>
      </x:c>
    </x:row>
    <x:row r="10">
      <x:c r="A10" s="14" t="str">
        <x:v>DQ-006</x:v>
      </x:c>
      <x:c r="B10" s="14" t="str">
        <x:v>Referral current status is an approved value</x:v>
      </x:c>
      <x:c r="C10" s="14" t="str">
        <x:v>Referral</x:v>
      </x:c>
      <x:c r="D10" s="14" t="str">
        <x:v>Error</x:v>
      </x:c>
      <x:c r="E10" s="14" t="str">
        <x:v>Database CHECK</x:v>
      </x:c>
      <x:c r="F10" s="14" t="str">
        <x:v>Blocking</x:v>
      </x:c>
      <x:c r="G10" s="14" t="str">
        <x:v>Health IT Support</x:v>
      </x:c>
      <x:c r="H10" s="14" t="str">
        <x:v>Automated SQL</x:v>
      </x:c>
      <x:c r="I10" s="87" t="str">
        <x:v>Approved</x:v>
      </x:c>
    </x:row>
    <x:row r="11">
      <x:c r="A11" s="14" t="str">
        <x:v>DQ-007</x:v>
      </x:c>
      <x:c r="B11" s="14" t="str">
        <x:v>Urgent referrals include a documented urgency reason</x:v>
      </x:c>
      <x:c r="C11" s="14" t="str">
        <x:v>Referral</x:v>
      </x:c>
      <x:c r="D11" s="14" t="str">
        <x:v>Error</x:v>
      </x:c>
      <x:c r="E11" s="14" t="str">
        <x:v>SQL validation</x:v>
      </x:c>
      <x:c r="F11" s="14" t="str">
        <x:v>Blocking</x:v>
      </x:c>
      <x:c r="G11" s="14" t="str">
        <x:v>Referral Manager</x:v>
      </x:c>
      <x:c r="H11" s="14" t="str">
        <x:v>Automated SQL</x:v>
      </x:c>
      <x:c r="I11" s="87" t="str">
        <x:v>Approved</x:v>
      </x:c>
    </x:row>
    <x:row r="12">
      <x:c r="A12" s="14" t="str">
        <x:v>DQ-008</x:v>
      </x:c>
      <x:c r="B12" s="14" t="str">
        <x:v>Closed referrals include a closed timestamp</x:v>
      </x:c>
      <x:c r="C12" s="14" t="str">
        <x:v>Referral</x:v>
      </x:c>
      <x:c r="D12" s="14" t="str">
        <x:v>Error</x:v>
      </x:c>
      <x:c r="E12" s="14" t="str">
        <x:v>SQL validation</x:v>
      </x:c>
      <x:c r="F12" s="14" t="str">
        <x:v>Blocking</x:v>
      </x:c>
      <x:c r="G12" s="14" t="str">
        <x:v>Referral Manager</x:v>
      </x:c>
      <x:c r="H12" s="14" t="str">
        <x:v>Automated SQL</x:v>
      </x:c>
      <x:c r="I12" s="87" t="str">
        <x:v>Approved</x:v>
      </x:c>
    </x:row>
    <x:row r="13">
      <x:c r="A13" s="14" t="str">
        <x:v>DQ-009</x:v>
      </x:c>
      <x:c r="B13" s="14" t="str">
        <x:v>Every referral has exactly one current status-history row</x:v>
      </x:c>
      <x:c r="C13" s="14" t="str">
        <x:v>Status History</x:v>
      </x:c>
      <x:c r="D13" s="14" t="str">
        <x:v>Error</x:v>
      </x:c>
      <x:c r="E13" s="14" t="str">
        <x:v>SQL validation</x:v>
      </x:c>
      <x:c r="F13" s="14" t="str">
        <x:v>Blocking</x:v>
      </x:c>
      <x:c r="G13" s="14" t="str">
        <x:v>Health IT Support</x:v>
      </x:c>
      <x:c r="H13" s="14" t="str">
        <x:v>Automated SQL</x:v>
      </x:c>
      <x:c r="I13" s="87" t="str">
        <x:v>Approved</x:v>
      </x:c>
    </x:row>
    <x:row r="14">
      <x:c r="A14" s="14" t="str">
        <x:v>DQ-010</x:v>
      </x:c>
      <x:c r="B14" s="14" t="str">
        <x:v>Current status matches current status-history value</x:v>
      </x:c>
      <x:c r="C14" s="14" t="str">
        <x:v>Status History</x:v>
      </x:c>
      <x:c r="D14" s="14" t="str">
        <x:v>Error</x:v>
      </x:c>
      <x:c r="E14" s="14" t="str">
        <x:v>SQL validation</x:v>
      </x:c>
      <x:c r="F14" s="14" t="str">
        <x:v>Blocking</x:v>
      </x:c>
      <x:c r="G14" s="14" t="str">
        <x:v>Health IT Support</x:v>
      </x:c>
      <x:c r="H14" s="14" t="str">
        <x:v>Automated SQL</x:v>
      </x:c>
      <x:c r="I14" s="87" t="str">
        <x:v>Approved</x:v>
      </x:c>
    </x:row>
    <x:row r="15">
      <x:c r="A15" s="14" t="str">
        <x:v>DQ-011</x:v>
      </x:c>
      <x:c r="B15" s="14" t="str">
        <x:v>Every open referral has one active assignment</x:v>
      </x:c>
      <x:c r="C15" s="14" t="str">
        <x:v>Assignment</x:v>
      </x:c>
      <x:c r="D15" s="14" t="str">
        <x:v>Error</x:v>
      </x:c>
      <x:c r="E15" s="14" t="str">
        <x:v>SQL validation</x:v>
      </x:c>
      <x:c r="F15" s="14" t="str">
        <x:v>Blocking</x:v>
      </x:c>
      <x:c r="G15" s="14" t="str">
        <x:v>Referral Manager</x:v>
      </x:c>
      <x:c r="H15" s="14" t="str">
        <x:v>Automated SQL</x:v>
      </x:c>
      <x:c r="I15" s="87" t="str">
        <x:v>Approved</x:v>
      </x:c>
    </x:row>
    <x:row r="16">
      <x:c r="A16" s="14" t="str">
        <x:v>DQ-012</x:v>
      </x:c>
      <x:c r="B16" s="14" t="str">
        <x:v>Assignment end is after assignment start</x:v>
      </x:c>
      <x:c r="C16" s="14" t="str">
        <x:v>Assignment</x:v>
      </x:c>
      <x:c r="D16" s="14" t="str">
        <x:v>Error</x:v>
      </x:c>
      <x:c r="E16" s="14" t="str">
        <x:v>Database CHECK</x:v>
      </x:c>
      <x:c r="F16" s="14" t="str">
        <x:v>Blocking</x:v>
      </x:c>
      <x:c r="G16" s="14" t="str">
        <x:v>Health IT Support</x:v>
      </x:c>
      <x:c r="H16" s="14" t="str">
        <x:v>Automated SQL</x:v>
      </x:c>
      <x:c r="I16" s="87" t="str">
        <x:v>Approved</x:v>
      </x:c>
    </x:row>
    <x:row r="17">
      <x:c r="A17" s="14" t="str">
        <x:v>DQ-013</x:v>
      </x:c>
      <x:c r="B17" s="14" t="str">
        <x:v>Appointment start is not before scheduled time</x:v>
      </x:c>
      <x:c r="C17" s="14" t="str">
        <x:v>Appointment</x:v>
      </x:c>
      <x:c r="D17" s="14" t="str">
        <x:v>Error</x:v>
      </x:c>
      <x:c r="E17" s="14" t="str">
        <x:v>SQL validation</x:v>
      </x:c>
      <x:c r="F17" s="14" t="str">
        <x:v>Blocking</x:v>
      </x:c>
      <x:c r="G17" s="14" t="str">
        <x:v>Referral Coordinator</x:v>
      </x:c>
      <x:c r="H17" s="14" t="str">
        <x:v>Automated SQL</x:v>
      </x:c>
      <x:c r="I17" s="87" t="str">
        <x:v>Approved</x:v>
      </x:c>
    </x:row>
    <x:row r="18">
      <x:c r="A18" s="14" t="str">
        <x:v>DQ-014</x:v>
      </x:c>
      <x:c r="B18" s="14" t="str">
        <x:v>Non-scheduled appointment outcomes have timestamps</x:v>
      </x:c>
      <x:c r="C18" s="14" t="str">
        <x:v>Appointment</x:v>
      </x:c>
      <x:c r="D18" s="14" t="str">
        <x:v>Error</x:v>
      </x:c>
      <x:c r="E18" s="14" t="str">
        <x:v>Database CHECK</x:v>
      </x:c>
      <x:c r="F18" s="14" t="str">
        <x:v>Blocking</x:v>
      </x:c>
      <x:c r="G18" s="14" t="str">
        <x:v>Referral Coordinator</x:v>
      </x:c>
      <x:c r="H18" s="14" t="str">
        <x:v>Automated SQL</x:v>
      </x:c>
      <x:c r="I18" s="87" t="str">
        <x:v>Approved</x:v>
      </x:c>
    </x:row>
    <x:row r="19">
      <x:c r="A19" s="14" t="str">
        <x:v>DQ-015</x:v>
      </x:c>
      <x:c r="B19" s="14" t="str">
        <x:v>Completed appointment has a report-pending or closed referral state</x:v>
      </x:c>
      <x:c r="C19" s="14" t="str">
        <x:v>Cross-record</x:v>
      </x:c>
      <x:c r="D19" s="14" t="str">
        <x:v>Error</x:v>
      </x:c>
      <x:c r="E19" s="14" t="str">
        <x:v>SQL validation</x:v>
      </x:c>
      <x:c r="F19" s="14" t="str">
        <x:v>Blocking</x:v>
      </x:c>
      <x:c r="G19" s="14" t="str">
        <x:v>Referral Manager</x:v>
      </x:c>
      <x:c r="H19" s="14" t="str">
        <x:v>Automated SQL</x:v>
      </x:c>
      <x:c r="I19" s="87" t="str">
        <x:v>Approved</x:v>
      </x:c>
    </x:row>
    <x:row r="20">
      <x:c r="A20" s="14" t="str">
        <x:v>DQ-016</x:v>
      </x:c>
      <x:c r="B20" s="14" t="str">
        <x:v>Matched consult report links to a referral</x:v>
      </x:c>
      <x:c r="C20" s="14" t="str">
        <x:v>Consult Report</x:v>
      </x:c>
      <x:c r="D20" s="14" t="str">
        <x:v>Error</x:v>
      </x:c>
      <x:c r="E20" s="14" t="str">
        <x:v>Application rule</x:v>
      </x:c>
      <x:c r="F20" s="14" t="str">
        <x:v>Blocking</x:v>
      </x:c>
      <x:c r="G20" s="14" t="str">
        <x:v>Health IT Support</x:v>
      </x:c>
      <x:c r="H20" s="14" t="str">
        <x:v>Automated SQL</x:v>
      </x:c>
      <x:c r="I20" s="87" t="str">
        <x:v>Approved</x:v>
      </x:c>
    </x:row>
    <x:row r="21">
      <x:c r="A21" s="14" t="str">
        <x:v>DQ-017</x:v>
      </x:c>
      <x:c r="B21" s="14" t="str">
        <x:v>Reviewed consult report has reviewer and review timestamp</x:v>
      </x:c>
      <x:c r="C21" s="14" t="str">
        <x:v>Consult Report</x:v>
      </x:c>
      <x:c r="D21" s="14" t="str">
        <x:v>Error</x:v>
      </x:c>
      <x:c r="E21" s="14" t="str">
        <x:v>Application rule</x:v>
      </x:c>
      <x:c r="F21" s="14" t="str">
        <x:v>Blocking</x:v>
      </x:c>
      <x:c r="G21" s="14" t="str">
        <x:v>Referring Clinician</x:v>
      </x:c>
      <x:c r="H21" s="14" t="str">
        <x:v>Automated SQL</x:v>
      </x:c>
      <x:c r="I21" s="87" t="str">
        <x:v>Approved</x:v>
      </x:c>
    </x:row>
    <x:row r="22">
      <x:c r="A22" s="14" t="str">
        <x:v>DQ-018</x:v>
      </x:c>
      <x:c r="B22" s="14" t="str">
        <x:v>Report routing and review timestamps are chronological</x:v>
      </x:c>
      <x:c r="C22" s="14" t="str">
        <x:v>Consult Report</x:v>
      </x:c>
      <x:c r="D22" s="14" t="str">
        <x:v>Error</x:v>
      </x:c>
      <x:c r="E22" s="14" t="str">
        <x:v>Database CHECK</x:v>
      </x:c>
      <x:c r="F22" s="14" t="str">
        <x:v>Blocking</x:v>
      </x:c>
      <x:c r="G22" s="14" t="str">
        <x:v>Health IT Support</x:v>
      </x:c>
      <x:c r="H22" s="14" t="str">
        <x:v>Automated SQL</x:v>
      </x:c>
      <x:c r="I22" s="87" t="str">
        <x:v>Approved</x:v>
      </x:c>
    </x:row>
    <x:row r="23">
      <x:c r="A23" s="14" t="str">
        <x:v>DQ-019</x:v>
      </x:c>
      <x:c r="B23" s="14" t="str">
        <x:v>Outreach next-action time follows attempt time</x:v>
      </x:c>
      <x:c r="C23" s="14" t="str">
        <x:v>Outreach</x:v>
      </x:c>
      <x:c r="D23" s="14" t="str">
        <x:v>Error</x:v>
      </x:c>
      <x:c r="E23" s="14" t="str">
        <x:v>Database CHECK</x:v>
      </x:c>
      <x:c r="F23" s="14" t="str">
        <x:v>Blocking</x:v>
      </x:c>
      <x:c r="G23" s="14" t="str">
        <x:v>Referral Coordinator</x:v>
      </x:c>
      <x:c r="H23" s="14" t="str">
        <x:v>Automated SQL</x:v>
      </x:c>
      <x:c r="I23" s="87" t="str">
        <x:v>Approved</x:v>
      </x:c>
    </x:row>
    <x:row r="24">
      <x:c r="A24" s="14" t="str">
        <x:v>DQ-020</x:v>
      </x:c>
      <x:c r="B24" s="14" t="str">
        <x:v>Validation issue resolution follows issue detection</x:v>
      </x:c>
      <x:c r="C24" s="14" t="str">
        <x:v>Validation Issue</x:v>
      </x:c>
      <x:c r="D24" s="14" t="str">
        <x:v>Error</x:v>
      </x:c>
      <x:c r="E24" s="14" t="str">
        <x:v>Database CHECK</x:v>
      </x:c>
      <x:c r="F24" s="14" t="str">
        <x:v>Blocking</x:v>
      </x:c>
      <x:c r="G24" s="14" t="str">
        <x:v>Health IT Support</x:v>
      </x:c>
      <x:c r="H24" s="14" t="str">
        <x:v>Automated SQL</x:v>
      </x:c>
      <x:c r="I24" s="87" t="str">
        <x:v>Approved</x:v>
      </x:c>
    </x:row>
  </x:sheetData>
  <x:mergeCells>
    <x:mergeCell ref="A1:I1"/>
    <x:mergeCell ref="A2:I2"/>
  </x:mergeCells>
  <x:conditionalFormatting sqref="I5:I24">
    <x:cfRule type="containsText" dxfId="20" priority="1" operator="containsText" text="Approved"/>
    <x:cfRule type="containsText" dxfId="21" priority="2" operator="containsText" text="Proposed"/>
    <x:cfRule type="containsText" dxfId="22" priority="3" operator="containsText" text="Retired"/>
  </x:conditionalFormatting>
  <x:dataValidations count="1">
    <x:dataValidation type="list" sqref="I5:I24">
      <x:formula1>"Proposed,Approved,Configured,Retired"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5ef15c442041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38" hidden="0" customWidth="1"/>
    <x:col min="4" max="4" width="55" hidden="0" customWidth="1"/>
    <x:col min="5" max="5" width="22" hidden="0" customWidth="1"/>
    <x:col min="6" max="6" width="28" hidden="0" customWidth="1"/>
    <x:col min="7" max="7" width="15" hidden="0" customWidth="1"/>
  </x:cols>
  <x:sheetData>
    <x:row r="1" ht="32" customHeight="1">
      <x:c r="A1" s="3" t="str">
        <x:v>Decision Log</x:v>
      </x:c>
      <x:c r="B1" s="3"/>
      <x:c r="C1" s="3"/>
      <x:c r="D1" s="3"/>
      <x:c r="E1" s="3"/>
      <x:c r="F1" s="3"/>
      <x:c r="G1" s="3"/>
    </x:row>
    <x:row r="2" ht="30" customHeight="1">
      <x:c r="A2" s="7" t="str">
        <x:v>Implementation decisions and assumptions requiring stakeholder confirmation or retained audit context.</x:v>
      </x:c>
      <x:c r="B2" s="7"/>
      <x:c r="C2" s="7"/>
      <x:c r="D2" s="7"/>
      <x:c r="E2" s="7"/>
      <x:c r="F2" s="7"/>
      <x:c r="G2" s="7"/>
    </x:row>
    <x:row r="4" ht="34" customHeight="1">
      <x:c r="A4" s="11" t="str">
        <x:v>Decision ID</x:v>
      </x:c>
      <x:c r="B4" s="11" t="str">
        <x:v>Decision Date</x:v>
      </x:c>
      <x:c r="C4" s="11" t="str">
        <x:v>Decision</x:v>
      </x:c>
      <x:c r="D4" s="11" t="str">
        <x:v>Rationale</x:v>
      </x:c>
      <x:c r="E4" s="11" t="str">
        <x:v>Owner</x:v>
      </x:c>
      <x:c r="F4" s="11" t="str">
        <x:v>Affected Artifacts</x:v>
      </x:c>
      <x:c r="G4" s="11" t="str">
        <x:v>Status</x:v>
      </x:c>
    </x:row>
    <x:row r="5">
      <x:c r="A5" s="14" t="str">
        <x:v>DEC-001</x:v>
      </x:c>
      <x:c r="B5" s="16" t="n">
        <x:v>45839</x:v>
      </x:c>
      <x:c r="C5" s="14" t="str">
        <x:v>Use synthetic, non-PHI data</x:v>
      </x:c>
      <x:c r="D5" s="14" t="str">
        <x:v>Enables public portfolio demonstration without privacy risk</x:v>
      </x:c>
      <x:c r="E5" s="14" t="str">
        <x:v>Project Owner</x:v>
      </x:c>
      <x:c r="F5" s="14" t="str">
        <x:v>Data model; README</x:v>
      </x:c>
      <x:c r="G5" s="87" t="str">
        <x:v>Approved</x:v>
      </x:c>
    </x:row>
    <x:row r="6">
      <x:c r="A6" s="14" t="str">
        <x:v>DEC-002</x:v>
      </x:c>
      <x:c r="B6" s="16" t="n">
        <x:v>45840</x:v>
      </x:c>
      <x:c r="C6" s="14" t="str">
        <x:v>Maintain current referral status plus complete status history</x:v>
      </x:c>
      <x:c r="D6" s="14" t="str">
        <x:v>Supports fast operations and auditable lifecycle reporting</x:v>
      </x:c>
      <x:c r="E6" s="14" t="str">
        <x:v>Health IT Lead</x:v>
      </x:c>
      <x:c r="F6" s="14" t="str">
        <x:v>Database; analytics</x:v>
      </x:c>
      <x:c r="G6" s="87" t="str">
        <x:v>Approved</x:v>
      </x:c>
    </x:row>
    <x:row r="7">
      <x:c r="A7" s="14" t="str">
        <x:v>DEC-003</x:v>
      </x:c>
      <x:c r="B7" s="16" t="n">
        <x:v>45841</x:v>
      </x:c>
      <x:c r="C7" s="14" t="str">
        <x:v>Use calendar-hour service levels</x:v>
      </x:c>
      <x:c r="D7" s="14" t="str">
        <x:v>Makes synthetic SLA calculation reproducible; production should confirm business-hour calendars</x:v>
      </x:c>
      <x:c r="E7" s="14" t="str">
        <x:v>Referral Manager</x:v>
      </x:c>
      <x:c r="F7" s="14" t="str">
        <x:v>SLA rules; metrics</x:v>
      </x:c>
      <x:c r="G7" s="87" t="str">
        <x:v>Proposed</x:v>
      </x:c>
    </x:row>
    <x:row r="8">
      <x:c r="A8" s="14" t="str">
        <x:v>DEC-004</x:v>
      </x:c>
      <x:c r="B8" s="16" t="n">
        <x:v>45842</x:v>
      </x:c>
      <x:c r="C8" s="14" t="str">
        <x:v>Urgency is explicitly assigned, not inferred from diagnosis</x:v>
      </x:c>
      <x:c r="D8" s="14" t="str">
        <x:v>Avoids embedding clinical decision logic in an administrative prototype</x:v>
      </x:c>
      <x:c r="E8" s="14" t="str">
        <x:v>Medical Director</x:v>
      </x:c>
      <x:c r="F8" s="14" t="str">
        <x:v>Referral intake</x:v>
      </x:c>
      <x:c r="G8" s="87" t="str">
        <x:v>Approved</x:v>
      </x:c>
    </x:row>
    <x:row r="9">
      <x:c r="A9" s="14" t="str">
        <x:v>DEC-005</x:v>
      </x:c>
      <x:c r="B9" s="16" t="n">
        <x:v>45843</x:v>
      </x:c>
      <x:c r="C9" s="14" t="str">
        <x:v>Use controlled values for statuses, outcomes, and closure reasons</x:v>
      </x:c>
      <x:c r="D9" s="14" t="str">
        <x:v>Improves reporting consistency and reduces free-text ambiguity</x:v>
      </x:c>
      <x:c r="E9" s="14" t="str">
        <x:v>Implementation Lead</x:v>
      </x:c>
      <x:c r="F9" s="14" t="str">
        <x:v>Configuration workbook</x:v>
      </x:c>
      <x:c r="G9" s="87" t="str">
        <x:v>Approved</x:v>
      </x:c>
    </x:row>
    <x:row r="10">
      <x:c r="A10" s="14" t="str">
        <x:v>DEC-006</x:v>
      </x:c>
      <x:c r="B10" s="16" t="n">
        <x:v>45844</x:v>
      </x:c>
      <x:c r="C10" s="14" t="str">
        <x:v>Require manager approval for noncompletion closures</x:v>
      </x:c>
      <x:c r="D10" s="14" t="str">
        <x:v>Reduces inappropriate referral leakage</x:v>
      </x:c>
      <x:c r="E10" s="14" t="str">
        <x:v>Practice Manager</x:v>
      </x:c>
      <x:c r="F10" s="14" t="str">
        <x:v>Transitions; permissions</x:v>
      </x:c>
      <x:c r="G10" s="87" t="str">
        <x:v>Approved</x:v>
      </x:c>
    </x:row>
    <x:row r="11">
      <x:c r="A11" s="14" t="str">
        <x:v>DEC-007</x:v>
      </x:c>
      <x:c r="B11" s="16" t="n">
        <x:v>45845</x:v>
      </x:c>
      <x:c r="C11" s="14" t="str">
        <x:v>Limit FHIR scope to referral and document exchange concepts</x:v>
      </x:c>
      <x:c r="D11" s="14" t="str">
        <x:v>Keeps Project 4 achievable while showing interoperability awareness</x:v>
      </x:c>
      <x:c r="E11" s="14" t="str">
        <x:v>Health IT Lead</x:v>
      </x:c>
      <x:c r="F11" s="14" t="str">
        <x:v>Integration scope</x:v>
      </x:c>
      <x:c r="G11" s="87" t="str">
        <x:v>Approved</x:v>
      </x:c>
    </x:row>
    <x:row r="12">
      <x:c r="A12" s="14" t="str">
        <x:v>DEC-008</x:v>
      </x:c>
      <x:c r="B12" s="16" t="n">
        <x:v>45846</x:v>
      </x:c>
      <x:c r="C12" s="14" t="str">
        <x:v>Retain historical overdue backlog in synthetic data</x:v>
      </x:c>
      <x:c r="D12" s="14" t="str">
        <x:v>Demonstrates operational prioritization and exception handling</x:v>
      </x:c>
      <x:c r="E12" s="14" t="str">
        <x:v>Data Analyst</x:v>
      </x:c>
      <x:c r="F12" s="14" t="str">
        <x:v>Dashboard; work queue</x:v>
      </x:c>
      <x:c r="G12" s="87" t="str">
        <x:v>Approved</x:v>
      </x:c>
    </x:row>
  </x:sheetData>
  <x:mergeCells>
    <x:mergeCell ref="A1:G1"/>
    <x:mergeCell ref="A2:G2"/>
  </x:mergeCells>
  <x:conditionalFormatting sqref="G5:G12">
    <x:cfRule type="containsText" dxfId="23" priority="1" operator="containsText" text="Approved"/>
    <x:cfRule type="containsText" dxfId="24" priority="2" operator="containsText" text="Proposed"/>
    <x:cfRule type="containsText" dxfId="25" priority="3" operator="containsText" text="Retired"/>
  </x:conditionalFormatting>
  <x:dataValidations count="1">
    <x:dataValidation type="list" sqref="G5:G12">
      <x:formula1>"Proposed,Approved,Configured,Retired"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f06726eb814d16"/>
  </x:tableParts>
</x:worksheet>
</file>