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f41f375f3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 RTM" sheetId="1" r:id="R0d319a1cc60b4c78"/>
    <x:sheet xmlns:r="http://schemas.openxmlformats.org/officeDocument/2006/relationships" name="Status Summary" sheetId="2" r:id="Rbf99dbde92944939"/>
    <x:sheet xmlns:r="http://schemas.openxmlformats.org/officeDocument/2006/relationships" name="Lists" sheetId="3" r:id="R87d77f32679641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74C6B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i/>
      <x:sz val="11"/>
      <x:color rgb="FF274C6B"/>
      <x:name val="Carlito"/>
    </x:font>
    <x:font>
      <x:b/>
      <x:sz val="11"/>
      <x:name val="Carlito"/>
    </x:font>
    <x:font>
      <x:b/>
      <x:sz val="14"/>
      <x:color rgb="FF163A5F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8F2"/>
      </x:patternFill>
    </x:fill>
    <x:fill>
      <x:patternFill patternType="solid">
        <x:fgColor rgb="FF236B8E"/>
      </x:patternFill>
    </x:fill>
    <x:fill>
      <x:patternFill patternType="solid">
        <x:fgColor rgb="FFFFF7D6"/>
      </x:patternFill>
    </x:fill>
    <x:fill>
      <x:patternFill patternType="solid">
        <x:fgColor rgb="FFFFFDF0"/>
      </x:patternFill>
    </x:fill>
    <x:fill>
      <x:patternFill patternType="solid">
        <x:fgColor rgb="FFEDF3F7"/>
      </x:patternFill>
    </x:fill>
    <x:fill>
      <x:patternFill patternType="solid">
        <x:fgColor rgb="FFF7FAFC"/>
      </x:patternFill>
    </x:fill>
  </x:fills>
  <x:borders count="11">
    <x:border/>
    <x:border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  <x:border>
      <x:top style="thin">
        <x:color rgb="FFD6DEE5"/>
      </x:top>
      <x:bottom style="thin">
        <x:color rgb="FFAAB7C2"/>
      </x:bottom>
    </x:border>
    <x:border>
      <x:left style="thin">
        <x:color rgb="FFAAB7C2"/>
      </x:left>
      <x:top style="thin">
        <x:color rgb="FFAAB7C2"/>
      </x:top>
    </x:border>
    <x:border>
      <x:right style="thin">
        <x:color rgb="FFAAB7C2"/>
      </x:right>
      <x:top style="thin">
        <x:color rgb="FFAAB7C2"/>
      </x:top>
    </x:border>
    <x:border>
      <x:left style="thin">
        <x:color rgb="FFAAB7C2"/>
      </x:left>
    </x:border>
    <x:border>
      <x:right style="thin">
        <x:color rgb="FFAAB7C2"/>
      </x:right>
    </x:border>
    <x:border>
      <x:left style="thin">
        <x:color rgb="FFAAB7C2"/>
      </x:left>
      <x:bottom style="thin">
        <x:color rgb="FFAAB7C2"/>
      </x:bottom>
    </x:border>
    <x:border>
      <x:right style="thin">
        <x:color rgb="FFAAB7C2"/>
      </x:right>
      <x:bottom style="thin">
        <x:color rgb="FFAAB7C2"/>
      </x:bottom>
    </x:border>
    <x:border>
      <x:top style="thin">
        <x:color rgb="FFD6DEE5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200" fontId="7" fillId="8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6" fillId="7" borderId="6" xfId="0" applyNumberFormat="1" applyFont="1" applyFill="1" applyBorder="1"/>
    <x:xf numFmtId="200" fontId="7" fillId="8" borderId="7" xfId="0" applyNumberFormat="1" applyFont="1" applyFill="1" applyBorder="1"/>
    <x:xf numFmtId="0" fontId="6" fillId="7" borderId="8" xfId="0" applyNumberFormat="1" applyFont="1" applyFill="1" applyBorder="1"/>
    <x:xf numFmtId="200" fontId="7" fillId="8" borderId="9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10" xfId="0" applyNumberFormat="1" applyFont="1" applyFill="1" applyBorder="1"/>
    <x:xf numFmtId="0" fontId="8" fillId="2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27632A"/>
      </x:font>
      <x:fill>
        <x:patternFill patternType="solid">
          <x:bgColor rgb="FFD9EAD3"/>
        </x:patternFill>
      </x:fill>
    </x:dxf>
    <x:dxf>
      <x:font>
        <x:b/>
        <x:color rgb="FF174A72"/>
      </x:font>
      <x:fill>
        <x:patternFill patternType="solid">
          <x:bgColor rgb="FFD9EAF7"/>
        </x:patternFill>
      </x:fill>
    </x:dxf>
    <x:dxf>
      <x:font>
        <x:color rgb="FF9C5700"/>
      </x:font>
      <x:fill>
        <x:patternFill patternType="solid">
          <x:bgColor rgb="FFFCE5CD"/>
        </x:patternFill>
      </x:fill>
    </x:dxf>
    <x:dxf>
      <x:font>
        <x:b/>
        <x:color rgb="FF27632A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2eaab1975492a" /><Relationship Type="http://schemas.openxmlformats.org/officeDocument/2006/relationships/theme" Target="/xl/theme/theme1.xml" Id="R8fa08fca00754324" /><Relationship Type="http://schemas.openxmlformats.org/officeDocument/2006/relationships/sharedStrings" Target="/xl/sharedStrings.xml" Id="Rdc72dd9e8c3d4116" /><Relationship Type="http://schemas.openxmlformats.org/officeDocument/2006/relationships/worksheet" Target="/xl/worksheets/sheet1.xml" Id="R0d319a1cc60b4c78" /><Relationship Type="http://schemas.openxmlformats.org/officeDocument/2006/relationships/worksheet" Target="/xl/worksheets/sheet2.xml" Id="Rbf99dbde92944939" /><Relationship Type="http://schemas.openxmlformats.org/officeDocument/2006/relationships/worksheet" Target="/xl/worksheets/sheet3.xml" Id="R87d77f326796416a" /><Relationship Type="http://schemas.microsoft.com/office/2017/10/relationships/person" Target="/xl/persons/person.xml" Id="R32d8007485044e2c" /></Relationships>
</file>

<file path=xl/persons/person.xml><?xml version="1.0" encoding="utf-8"?>
<xltc:personList xmlns:xltc="http://schemas.microsoft.com/office/spreadsheetml/2018/threadedcomments">
  <xltc:person displayName="Brandon McDermott" id="{FB3A6096-BBB2-46B4-A0E7-2EC33DDA319F}"/>
</xltc:personList>
</file>

<file path=xl/tables/table1.xml><?xml version="1.0" encoding="utf-8"?>
<x:table xmlns:x="http://schemas.openxmlformats.org/spreadsheetml/2006/main" id="1" name="RequirementsTraceabilityTable" displayName="RequirementsTraceabilityTable" ref="A4:L105" headerRowCount="1" totalsRowCount="0" totalsRowShown="0">
  <x:autoFilter ref="A4:L105"/>
  <x:tableColumns count="12">
    <x:tableColumn id="1" name="Requirement ID"/>
    <x:tableColumn id="2" name="Type"/>
    <x:tableColumn id="3" name="Priority"/>
    <x:tableColumn id="4" name="Requirement"/>
    <x:tableColumn id="5" name="Acceptance Criterion"/>
    <x:tableColumn id="6" name="Planned Evidence"/>
    <x:tableColumn id="7" name="Verification Method"/>
    <x:tableColumn id="8" name="Implementation Status"/>
    <x:tableColumn id="9" name="Test Status"/>
    <x:tableColumn id="10" name="Evidence Path / Link"/>
    <x:tableColumn id="11" name="Owner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79cffb84c448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12" hidden="0" customWidth="1"/>
    <x:col min="4" max="4" width="48" hidden="0" customWidth="1"/>
    <x:col min="5" max="5" width="48" hidden="0" customWidth="1"/>
    <x:col min="6" max="6" width="36" hidden="0" customWidth="1"/>
    <x:col min="7" max="7" width="28" hidden="0" customWidth="1"/>
    <x:col min="8" max="8" width="19" hidden="0" customWidth="1"/>
    <x:col min="9" max="9" width="16" hidden="0" customWidth="1"/>
    <x:col min="10" max="10" width="34" hidden="0" customWidth="1"/>
    <x:col min="11" max="11" width="22" hidden="0" customWidth="1"/>
    <x:col min="12" max="12" width="36" hidden="0" customWidth="1"/>
  </x:cols>
  <x:sheetData>
    <x:row r="1" ht="30" customHeight="1">
      <x:c r="A1" s="3" t="str">
        <x:v>Project 4 — Requirements Traceability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6" t="str">
        <x:v>Closed-Loop Specialty Referral Management | Synthetic portfolio implementation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17" t="str">
        <x:v>Requirement ID</x:v>
      </x:c>
      <x:c r="B4" s="17" t="str">
        <x:v>Type</x:v>
      </x:c>
      <x:c r="C4" s="17" t="str">
        <x:v>Priority</x:v>
      </x:c>
      <x:c r="D4" s="17" t="str">
        <x:v>Requirement</x:v>
      </x:c>
      <x:c r="E4" s="17" t="str">
        <x:v>Acceptance Criterion</x:v>
      </x:c>
      <x:c r="F4" s="17" t="str">
        <x:v>Planned Evidence</x:v>
      </x:c>
      <x:c r="G4" s="17" t="str">
        <x:v>Verification Method</x:v>
      </x:c>
      <x:c r="H4" s="17" t="str">
        <x:v>Implementation Status</x:v>
      </x:c>
      <x:c r="I4" s="17" t="str">
        <x:v>Test Status</x:v>
      </x:c>
      <x:c r="J4" s="17" t="str">
        <x:v>Evidence Path / Link</x:v>
      </x:c>
      <x:c r="K4" s="17" t="str">
        <x:v>Owner</x:v>
      </x:c>
      <x:c r="L4" s="17" t="str">
        <x:v>Notes</x:v>
      </x:c>
    </x:row>
    <x:row r="5" ht="54" customHeight="1">
      <x:c r="A5" s="18" t="str">
        <x:v>BR-001</x:v>
      </x:c>
      <x:c r="B5" s="18" t="str">
        <x:v>Business</x:v>
      </x:c>
      <x:c r="C5" s="18" t="str">
        <x:v>Must</x:v>
      </x:c>
      <x:c r="D5" s="19" t="str">
        <x:v>NorthStar shall use one standardized enterprise referral-status model.</x:v>
      </x:c>
      <x:c r="E5" s="19" t="str">
        <x:v>Every referral status maps to an approved value with documented entry and exit conditions.</x:v>
      </x:c>
      <x:c r="F5" s="19" t="str">
        <x:v>Workflow design; KPI specification; UAT</x:v>
      </x:c>
      <x:c r="G5" s="19" t="str">
        <x:v>Review + UAT</x:v>
      </x:c>
      <x:c r="H5" s="20" t="str">
        <x:v>Not Started</x:v>
      </x:c>
      <x:c r="I5" s="20" t="str">
        <x:v>Not Tested</x:v>
      </x:c>
      <x:c r="J5" s="21" t="str"/>
      <x:c r="K5" s="21" t="str">
        <x:v>Brandon McDermott</x:v>
      </x:c>
      <x:c r="L5" s="21" t="str"/>
    </x:row>
    <x:row r="6" ht="54" customHeight="1">
      <x:c r="A6" s="18" t="str">
        <x:v>BR-002</x:v>
      </x:c>
      <x:c r="B6" s="18" t="str">
        <x:v>Business</x:v>
      </x:c>
      <x:c r="C6" s="18" t="str">
        <x:v>Must</x:v>
      </x:c>
      <x:c r="D6" s="19" t="str">
        <x:v>Every active referral shall have an accountable owner or operational queue.</x:v>
      </x:c>
      <x:c r="E6" s="19" t="str">
        <x:v>A query returns zero active referrals lacking both an owner and valid queue, except documented interface exceptions.</x:v>
      </x:c>
      <x:c r="F6" s="19" t="str">
        <x:v>Workflow design; KPI specification; UAT</x:v>
      </x:c>
      <x:c r="G6" s="19" t="str">
        <x:v>Review + UAT</x:v>
      </x:c>
      <x:c r="H6" s="20" t="str">
        <x:v>Not Started</x:v>
      </x:c>
      <x:c r="I6" s="20" t="str">
        <x:v>Not Tested</x:v>
      </x:c>
      <x:c r="J6" s="21" t="str"/>
      <x:c r="K6" s="21" t="str">
        <x:v>Brandon McDermott</x:v>
      </x:c>
      <x:c r="L6" s="21" t="str"/>
    </x:row>
    <x:row r="7" ht="54" customHeight="1">
      <x:c r="A7" s="18" t="str">
        <x:v>BR-003</x:v>
      </x:c>
      <x:c r="B7" s="18" t="str">
        <x:v>Business</x:v>
      </x:c>
      <x:c r="C7" s="18" t="str">
        <x:v>Must</x:v>
      </x:c>
      <x:c r="D7" s="19" t="str">
        <x:v>The organization shall distinguish referral scheduling, encounter completion, report receipt, and clinical closure.</x:v>
      </x:c>
      <x:c r="E7" s="19" t="str">
        <x:v>The data model and workflow contain separate fields or events for all four milestones.</x:v>
      </x:c>
      <x:c r="F7" s="19" t="str">
        <x:v>Workflow design; KPI specification; UAT</x:v>
      </x:c>
      <x:c r="G7" s="19" t="str">
        <x:v>Review + UAT</x:v>
      </x:c>
      <x:c r="H7" s="20" t="str">
        <x:v>Not Started</x:v>
      </x:c>
      <x:c r="I7" s="20" t="str">
        <x:v>Not Tested</x:v>
      </x:c>
      <x:c r="J7" s="21" t="str"/>
      <x:c r="K7" s="21" t="str">
        <x:v>Brandon McDermott</x:v>
      </x:c>
      <x:c r="L7" s="21" t="str"/>
    </x:row>
    <x:row r="8" ht="54" customHeight="1">
      <x:c r="A8" s="18" t="str">
        <x:v>BR-004</x:v>
      </x:c>
      <x:c r="B8" s="18" t="str">
        <x:v>Business</x:v>
      </x:c>
      <x:c r="C8" s="18" t="str">
        <x:v>Must</x:v>
      </x:c>
      <x:c r="D8" s="19" t="str">
        <x:v>Urgent and overdue referrals shall be distinguishable from routine work.</x:v>
      </x:c>
      <x:c r="E8" s="19" t="str">
        <x:v>Users can retrieve an urgent or overdue queue using defined priority and service-level logic.</x:v>
      </x:c>
      <x:c r="F8" s="19" t="str">
        <x:v>Workflow design; KPI specification; UAT</x:v>
      </x:c>
      <x:c r="G8" s="19" t="str">
        <x:v>Review + UAT</x:v>
      </x:c>
      <x:c r="H8" s="20" t="str">
        <x:v>Not Started</x:v>
      </x:c>
      <x:c r="I8" s="20" t="str">
        <x:v>Not Tested</x:v>
      </x:c>
      <x:c r="J8" s="21" t="str"/>
      <x:c r="K8" s="21" t="str">
        <x:v>Brandon McDermott</x:v>
      </x:c>
      <x:c r="L8" s="21" t="str"/>
    </x:row>
    <x:row r="9" ht="54" customHeight="1">
      <x:c r="A9" s="18" t="str">
        <x:v>BR-005</x:v>
      </x:c>
      <x:c r="B9" s="18" t="str">
        <x:v>Business</x:v>
      </x:c>
      <x:c r="C9" s="18" t="str">
        <x:v>Must</x:v>
      </x:c>
      <x:c r="D9" s="19" t="str">
        <x:v>Referral closure shall use standardized completed and non-completed criteria.</x:v>
      </x:c>
      <x:c r="E9" s="19" t="str">
        <x:v>Every closed referral satisfies completed closure rules or contains an approved non-completion or cancellation reason.</x:v>
      </x:c>
      <x:c r="F9" s="19" t="str">
        <x:v>Workflow design; KPI specification; UAT</x:v>
      </x:c>
      <x:c r="G9" s="19" t="str">
        <x:v>Review + UAT</x:v>
      </x:c>
      <x:c r="H9" s="20" t="str">
        <x:v>Not Started</x:v>
      </x:c>
      <x:c r="I9" s="20" t="str">
        <x:v>Not Tested</x:v>
      </x:c>
      <x:c r="J9" s="21" t="str"/>
      <x:c r="K9" s="21" t="str">
        <x:v>Brandon McDermott</x:v>
      </x:c>
      <x:c r="L9" s="21" t="str"/>
    </x:row>
    <x:row r="10" ht="54" customHeight="1">
      <x:c r="A10" s="18" t="str">
        <x:v>BR-006</x:v>
      </x:c>
      <x:c r="B10" s="18" t="str">
        <x:v>Business</x:v>
      </x:c>
      <x:c r="C10" s="18" t="str">
        <x:v>Must</x:v>
      </x:c>
      <x:c r="D10" s="19" t="str">
        <x:v>Leadership shall be able to evaluate referral performance across the lifecycle.</x:v>
      </x:c>
      <x:c r="E10" s="19" t="str">
        <x:v>The dashboard reports intake, outreach, scheduling, completion, report receipt, closure, and aging metrics.</x:v>
      </x:c>
      <x:c r="F10" s="19" t="str">
        <x:v>Workflow design; KPI specification; UAT</x:v>
      </x:c>
      <x:c r="G10" s="19" t="str">
        <x:v>Review + UAT</x:v>
      </x:c>
      <x:c r="H10" s="20" t="str">
        <x:v>Not Started</x:v>
      </x:c>
      <x:c r="I10" s="20" t="str">
        <x:v>Not Tested</x:v>
      </x:c>
      <x:c r="J10" s="21" t="str"/>
      <x:c r="K10" s="21" t="str">
        <x:v>Brandon McDermott</x:v>
      </x:c>
      <x:c r="L10" s="21" t="str"/>
    </x:row>
    <x:row r="11" ht="54" customHeight="1">
      <x:c r="A11" s="18" t="str">
        <x:v>BR-007</x:v>
      </x:c>
      <x:c r="B11" s="18" t="str">
        <x:v>Business</x:v>
      </x:c>
      <x:c r="C11" s="18" t="str">
        <x:v>Should</x:v>
      </x:c>
      <x:c r="D11" s="19" t="str">
        <x:v>Site and specialty performance shall be comparable using governed definitions.</x:v>
      </x:c>
      <x:c r="E11" s="19" t="str">
        <x:v>The same metric logic applies to all sites and specialties, with documented exclusions.</x:v>
      </x:c>
      <x:c r="F11" s="19" t="str">
        <x:v>Workflow design; KPI specification; UAT</x:v>
      </x:c>
      <x:c r="G11" s="19" t="str">
        <x:v>Review + UAT</x:v>
      </x:c>
      <x:c r="H11" s="20" t="str">
        <x:v>Not Started</x:v>
      </x:c>
      <x:c r="I11" s="20" t="str">
        <x:v>Not Tested</x:v>
      </x:c>
      <x:c r="J11" s="21" t="str"/>
      <x:c r="K11" s="21" t="str">
        <x:v>Brandon McDermott</x:v>
      </x:c>
      <x:c r="L11" s="21" t="str"/>
    </x:row>
    <x:row r="12" ht="54" customHeight="1">
      <x:c r="A12" s="18" t="str">
        <x:v>BR-008</x:v>
      </x:c>
      <x:c r="B12" s="18" t="str">
        <x:v>Business</x:v>
      </x:c>
      <x:c r="C12" s="18" t="str">
        <x:v>Must</x:v>
      </x:c>
      <x:c r="D12" s="19" t="str">
        <x:v>The implementation shall preserve human review for clinical priority and clinical escalation.</x:v>
      </x:c>
      <x:c r="E12" s="19" t="str">
        <x:v>No automated process independently assigns or changes clinical urgency without an authorized user action.</x:v>
      </x:c>
      <x:c r="F12" s="19" t="str">
        <x:v>Workflow design; KPI specification; UAT</x:v>
      </x:c>
      <x:c r="G12" s="19" t="str">
        <x:v>Review + UAT</x:v>
      </x:c>
      <x:c r="H12" s="20" t="str">
        <x:v>Not Started</x:v>
      </x:c>
      <x:c r="I12" s="20" t="str">
        <x:v>Not Tested</x:v>
      </x:c>
      <x:c r="J12" s="21" t="str"/>
      <x:c r="K12" s="21" t="str">
        <x:v>Brandon McDermott</x:v>
      </x:c>
      <x:c r="L12" s="21" t="str"/>
    </x:row>
    <x:row r="13" ht="54" customHeight="1">
      <x:c r="A13" s="18" t="str">
        <x:v>FR-001</x:v>
      </x:c>
      <x:c r="B13" s="18" t="str">
        <x:v>Functional</x:v>
      </x:c>
      <x:c r="C13" s="18" t="str">
        <x:v>Must</x:v>
      </x:c>
      <x:c r="D13" s="19" t="str">
        <x:v>The system shall create a unique internal referral record for every accepted source referral.</x:v>
      </x:c>
      <x:c r="E13" s="19" t="str">
        <x:v>Each loaded referral has a non-null unique internal identifier and retained source identifier.</x:v>
      </x:c>
      <x:c r="F13" s="19" t="str">
        <x:v>Configuration workbook; SQL/Python logic; UAT</x:v>
      </x:c>
      <x:c r="G13" s="19" t="str">
        <x:v>Functional test + UAT</x:v>
      </x:c>
      <x:c r="H13" s="20" t="str">
        <x:v>Not Started</x:v>
      </x:c>
      <x:c r="I13" s="20" t="str">
        <x:v>Not Tested</x:v>
      </x:c>
      <x:c r="J13" s="21" t="str"/>
      <x:c r="K13" s="21" t="str">
        <x:v>Brandon McDermott</x:v>
      </x:c>
      <x:c r="L13" s="21" t="str"/>
    </x:row>
    <x:row r="14" ht="54" customHeight="1">
      <x:c r="A14" s="18" t="str">
        <x:v>FR-002</x:v>
      </x:c>
      <x:c r="B14" s="18" t="str">
        <x:v>Functional</x:v>
      </x:c>
      <x:c r="C14" s="18" t="str">
        <x:v>Must</x:v>
      </x:c>
      <x:c r="D14" s="19" t="str">
        <x:v>The system shall record the source system and referral-received timestamp.</x:v>
      </x:c>
      <x:c r="E14" s="19" t="str">
        <x:v>Both values are populated for at least 99% of accepted referrals; exceptions are reported.</x:v>
      </x:c>
      <x:c r="F14" s="19" t="str">
        <x:v>Configuration workbook; SQL/Python logic; UAT</x:v>
      </x:c>
      <x:c r="G14" s="19" t="str">
        <x:v>Functional test + UAT</x:v>
      </x:c>
      <x:c r="H14" s="20" t="str">
        <x:v>Not Started</x:v>
      </x:c>
      <x:c r="I14" s="20" t="str">
        <x:v>Not Tested</x:v>
      </x:c>
      <x:c r="J14" s="21" t="str"/>
      <x:c r="K14" s="21" t="str">
        <x:v>Brandon McDermott</x:v>
      </x:c>
      <x:c r="L14" s="21" t="str"/>
    </x:row>
    <x:row r="15" ht="54" customHeight="1">
      <x:c r="A15" s="18" t="str">
        <x:v>FR-003</x:v>
      </x:c>
      <x:c r="B15" s="18" t="str">
        <x:v>Functional</x:v>
      </x:c>
      <x:c r="C15" s="18" t="str">
        <x:v>Must</x:v>
      </x:c>
      <x:c r="D15" s="19" t="str">
        <x:v>The system shall validate required patient, provider, clinical, payer, specialty, priority, and document fields.</x:v>
      </x:c>
      <x:c r="E15" s="19" t="str">
        <x:v>Each referral receives a validation result and a structured list of blocking failures.</x:v>
      </x:c>
      <x:c r="F15" s="19" t="str">
        <x:v>Configuration workbook; SQL/Python logic; UAT</x:v>
      </x:c>
      <x:c r="G15" s="19" t="str">
        <x:v>Functional test + UAT</x:v>
      </x:c>
      <x:c r="H15" s="20" t="str">
        <x:v>Not Started</x:v>
      </x:c>
      <x:c r="I15" s="20" t="str">
        <x:v>Not Tested</x:v>
      </x:c>
      <x:c r="J15" s="21" t="str"/>
      <x:c r="K15" s="21" t="str">
        <x:v>Brandon McDermott</x:v>
      </x:c>
      <x:c r="L15" s="21" t="str"/>
    </x:row>
    <x:row r="16" ht="54" customHeight="1">
      <x:c r="A16" s="18" t="str">
        <x:v>FR-004</x:v>
      </x:c>
      <x:c r="B16" s="18" t="str">
        <x:v>Functional</x:v>
      </x:c>
      <x:c r="C16" s="18" t="str">
        <x:v>Must</x:v>
      </x:c>
      <x:c r="D16" s="19" t="str">
        <x:v>Referrals with blocking validation failures shall enter `Needs Information`.</x:v>
      </x:c>
      <x:c r="E16" s="19" t="str">
        <x:v>A deliberately incomplete test referral is routed to the correct status and queue.</x:v>
      </x:c>
      <x:c r="F16" s="19" t="str">
        <x:v>Configuration workbook; SQL/Python logic; UAT</x:v>
      </x:c>
      <x:c r="G16" s="19" t="str">
        <x:v>Functional test + UAT</x:v>
      </x:c>
      <x:c r="H16" s="20" t="str">
        <x:v>Not Started</x:v>
      </x:c>
      <x:c r="I16" s="20" t="str">
        <x:v>Not Tested</x:v>
      </x:c>
      <x:c r="J16" s="21" t="str"/>
      <x:c r="K16" s="21" t="str">
        <x:v>Brandon McDermott</x:v>
      </x:c>
      <x:c r="L16" s="21" t="str"/>
    </x:row>
    <x:row r="17" ht="54" customHeight="1">
      <x:c r="A17" s="18" t="str">
        <x:v>FR-005</x:v>
      </x:c>
      <x:c r="B17" s="18" t="str">
        <x:v>Functional</x:v>
      </x:c>
      <x:c r="C17" s="18" t="str">
        <x:v>Must</x:v>
      </x:c>
      <x:c r="D17" s="19" t="str">
        <x:v>Authorized users shall be able to resolve validation failures.</x:v>
      </x:c>
      <x:c r="E17" s="19" t="str">
        <x:v>After required corrections, the referral passes validation and advances without losing its history.</x:v>
      </x:c>
      <x:c r="F17" s="19" t="str">
        <x:v>Configuration workbook; SQL/Python logic; UAT</x:v>
      </x:c>
      <x:c r="G17" s="19" t="str">
        <x:v>Functional test + UAT</x:v>
      </x:c>
      <x:c r="H17" s="20" t="str">
        <x:v>Not Started</x:v>
      </x:c>
      <x:c r="I17" s="20" t="str">
        <x:v>Not Tested</x:v>
      </x:c>
      <x:c r="J17" s="21" t="str"/>
      <x:c r="K17" s="21" t="str">
        <x:v>Brandon McDermott</x:v>
      </x:c>
      <x:c r="L17" s="21" t="str"/>
    </x:row>
    <x:row r="18" ht="54" customHeight="1">
      <x:c r="A18" s="18" t="str">
        <x:v>FR-006</x:v>
      </x:c>
      <x:c r="B18" s="18" t="str">
        <x:v>Functional</x:v>
      </x:c>
      <x:c r="C18" s="18" t="str">
        <x:v>Should</x:v>
      </x:c>
      <x:c r="D18" s="19" t="str">
        <x:v>Authorized users may override selected nonclinical validation rules with a reason.</x:v>
      </x:c>
      <x:c r="E18" s="19" t="str">
        <x:v>An override requires user, timestamp, rule, and explanatory reason.</x:v>
      </x:c>
      <x:c r="F18" s="19" t="str">
        <x:v>Configuration workbook; SQL/Python logic; UAT</x:v>
      </x:c>
      <x:c r="G18" s="19" t="str">
        <x:v>Functional test + UAT</x:v>
      </x:c>
      <x:c r="H18" s="20" t="str">
        <x:v>Not Started</x:v>
      </x:c>
      <x:c r="I18" s="20" t="str">
        <x:v>Not Tested</x:v>
      </x:c>
      <x:c r="J18" s="21" t="str"/>
      <x:c r="K18" s="21" t="str">
        <x:v>Brandon McDermott</x:v>
      </x:c>
      <x:c r="L18" s="21" t="str"/>
    </x:row>
    <x:row r="19" ht="54" customHeight="1">
      <x:c r="A19" s="18" t="str">
        <x:v>FR-007</x:v>
      </x:c>
      <x:c r="B19" s="18" t="str">
        <x:v>Functional</x:v>
      </x:c>
      <x:c r="C19" s="18" t="str">
        <x:v>Should</x:v>
      </x:c>
      <x:c r="D19" s="19" t="str">
        <x:v>The system shall identify possible duplicate active referrals.</x:v>
      </x:c>
      <x:c r="E19" s="19" t="str">
        <x:v>A configured duplicate test case is flagged without being automatically deleted.</x:v>
      </x:c>
      <x:c r="F19" s="19" t="str">
        <x:v>Configuration workbook; SQL/Python logic; UAT</x:v>
      </x:c>
      <x:c r="G19" s="19" t="str">
        <x:v>Functional test + UAT</x:v>
      </x:c>
      <x:c r="H19" s="20" t="str">
        <x:v>Not Started</x:v>
      </x:c>
      <x:c r="I19" s="20" t="str">
        <x:v>Not Tested</x:v>
      </x:c>
      <x:c r="J19" s="21" t="str"/>
      <x:c r="K19" s="21" t="str">
        <x:v>Brandon McDermott</x:v>
      </x:c>
      <x:c r="L19" s="21" t="str"/>
    </x:row>
    <x:row r="20" ht="54" customHeight="1">
      <x:c r="A20" s="18" t="str">
        <x:v>FR-008</x:v>
      </x:c>
      <x:c r="B20" s="18" t="str">
        <x:v>Functional</x:v>
      </x:c>
      <x:c r="C20" s="18" t="str">
        <x:v>Must</x:v>
      </x:c>
      <x:c r="D20" s="19" t="str">
        <x:v>The system shall assign complete referrals to an owner or accountable queue.</x:v>
      </x:c>
      <x:c r="E20" s="19" t="str">
        <x:v>Every referral leaving intake has a valid assignment.</x:v>
      </x:c>
      <x:c r="F20" s="19" t="str">
        <x:v>Configuration workbook; SQL/Python logic; UAT</x:v>
      </x:c>
      <x:c r="G20" s="19" t="str">
        <x:v>Functional test + UAT</x:v>
      </x:c>
      <x:c r="H20" s="20" t="str">
        <x:v>Not Started</x:v>
      </x:c>
      <x:c r="I20" s="20" t="str">
        <x:v>Not Tested</x:v>
      </x:c>
      <x:c r="J20" s="21" t="str"/>
      <x:c r="K20" s="21" t="str">
        <x:v>Brandon McDermott</x:v>
      </x:c>
      <x:c r="L20" s="21" t="str"/>
    </x:row>
    <x:row r="21" ht="54" customHeight="1">
      <x:c r="A21" s="18" t="str">
        <x:v>FR-009</x:v>
      </x:c>
      <x:c r="B21" s="18" t="str">
        <x:v>Functional</x:v>
      </x:c>
      <x:c r="C21" s="18" t="str">
        <x:v>Must</x:v>
      </x:c>
      <x:c r="D21" s="19" t="str">
        <x:v>Assignment rules shall consider at least location, specialty, and priority.</x:v>
      </x:c>
      <x:c r="E21" s="19" t="str">
        <x:v>Test referrals with different combinations route to their expected queues.</x:v>
      </x:c>
      <x:c r="F21" s="19" t="str">
        <x:v>Configuration workbook; SQL/Python logic; UAT</x:v>
      </x:c>
      <x:c r="G21" s="19" t="str">
        <x:v>Functional test + UAT</x:v>
      </x:c>
      <x:c r="H21" s="20" t="str">
        <x:v>Not Started</x:v>
      </x:c>
      <x:c r="I21" s="20" t="str">
        <x:v>Not Tested</x:v>
      </x:c>
      <x:c r="J21" s="21" t="str"/>
      <x:c r="K21" s="21" t="str">
        <x:v>Brandon McDermott</x:v>
      </x:c>
      <x:c r="L21" s="21" t="str"/>
    </x:row>
    <x:row r="22" ht="54" customHeight="1">
      <x:c r="A22" s="18" t="str">
        <x:v>FR-010</x:v>
      </x:c>
      <x:c r="B22" s="18" t="str">
        <x:v>Functional</x:v>
      </x:c>
      <x:c r="C22" s="18" t="str">
        <x:v>Must</x:v>
      </x:c>
      <x:c r="D22" s="19" t="str">
        <x:v>The system shall calculate a service-level due date for defined workflow stages.</x:v>
      </x:c>
      <x:c r="E22" s="19" t="str">
        <x:v>Expected due dates match the approved rule for representative routine and urgent cases.</x:v>
      </x:c>
      <x:c r="F22" s="19" t="str">
        <x:v>Configuration workbook; SQL/Python logic; UAT</x:v>
      </x:c>
      <x:c r="G22" s="19" t="str">
        <x:v>Functional test + UAT</x:v>
      </x:c>
      <x:c r="H22" s="20" t="str">
        <x:v>Not Started</x:v>
      </x:c>
      <x:c r="I22" s="20" t="str">
        <x:v>Not Tested</x:v>
      </x:c>
      <x:c r="J22" s="21" t="str"/>
      <x:c r="K22" s="21" t="str">
        <x:v>Brandon McDermott</x:v>
      </x:c>
      <x:c r="L22" s="21" t="str"/>
    </x:row>
    <x:row r="23" ht="54" customHeight="1">
      <x:c r="A23" s="18" t="str">
        <x:v>FR-011</x:v>
      </x:c>
      <x:c r="B23" s="18" t="str">
        <x:v>Functional</x:v>
      </x:c>
      <x:c r="C23" s="18" t="str">
        <x:v>Must</x:v>
      </x:c>
      <x:c r="D23" s="19" t="str">
        <x:v>The system shall flag referrals that exceed their current-stage service level.</x:v>
      </x:c>
      <x:c r="E23" s="19" t="str">
        <x:v>A test referral past its due date returns `overdue_flag = 1`.</x:v>
      </x:c>
      <x:c r="F23" s="19" t="str">
        <x:v>Configuration workbook; SQL/Python logic; UAT</x:v>
      </x:c>
      <x:c r="G23" s="19" t="str">
        <x:v>Functional test + UAT</x:v>
      </x:c>
      <x:c r="H23" s="20" t="str">
        <x:v>Not Started</x:v>
      </x:c>
      <x:c r="I23" s="20" t="str">
        <x:v>Not Tested</x:v>
      </x:c>
      <x:c r="J23" s="21" t="str"/>
      <x:c r="K23" s="21" t="str">
        <x:v>Brandon McDermott</x:v>
      </x:c>
      <x:c r="L23" s="21" t="str"/>
    </x:row>
    <x:row r="24" ht="54" customHeight="1">
      <x:c r="A24" s="18" t="str">
        <x:v>FR-012</x:v>
      </x:c>
      <x:c r="B24" s="18" t="str">
        <x:v>Functional</x:v>
      </x:c>
      <x:c r="C24" s="18" t="str">
        <x:v>Must</x:v>
      </x:c>
      <x:c r="D24" s="19" t="str">
        <x:v>Users shall be able to retrieve new-intake, needs-information, outreach, appointment-verification, report-pending, urgent-escalation, unassigned, and data-exception queues.</x:v>
      </x:c>
      <x:c r="E24" s="19" t="str">
        <x:v>Each queue has documented inclusion logic and returns its seeded test cases.</x:v>
      </x:c>
      <x:c r="F24" s="19" t="str">
        <x:v>Configuration workbook; SQL/Python logic; UAT</x:v>
      </x:c>
      <x:c r="G24" s="19" t="str">
        <x:v>Functional test + UAT</x:v>
      </x:c>
      <x:c r="H24" s="20" t="str">
        <x:v>Not Started</x:v>
      </x:c>
      <x:c r="I24" s="20" t="str">
        <x:v>Not Tested</x:v>
      </x:c>
      <x:c r="J24" s="21" t="str"/>
      <x:c r="K24" s="21" t="str">
        <x:v>Brandon McDermott</x:v>
      </x:c>
      <x:c r="L24" s="21" t="str"/>
    </x:row>
    <x:row r="25" ht="54" customHeight="1">
      <x:c r="A25" s="18" t="str">
        <x:v>FR-013</x:v>
      </x:c>
      <x:c r="B25" s="18" t="str">
        <x:v>Functional</x:v>
      </x:c>
      <x:c r="C25" s="18" t="str">
        <x:v>Should</x:v>
      </x:c>
      <x:c r="D25" s="19" t="str">
        <x:v>Referral managers shall be able to reassign referrals while preserving assignment history.</x:v>
      </x:c>
      <x:c r="E25" s="19" t="str">
        <x:v>Reassignment records old owner, new owner, user, timestamp, and reason when required.</x:v>
      </x:c>
      <x:c r="F25" s="19" t="str">
        <x:v>Configuration workbook; SQL/Python logic; UAT</x:v>
      </x:c>
      <x:c r="G25" s="19" t="str">
        <x:v>Functional test + UAT</x:v>
      </x:c>
      <x:c r="H25" s="20" t="str">
        <x:v>Not Started</x:v>
      </x:c>
      <x:c r="I25" s="20" t="str">
        <x:v>Not Tested</x:v>
      </x:c>
      <x:c r="J25" s="21" t="str"/>
      <x:c r="K25" s="21" t="str">
        <x:v>Brandon McDermott</x:v>
      </x:c>
      <x:c r="L25" s="21" t="str"/>
    </x:row>
    <x:row r="26" ht="54" customHeight="1">
      <x:c r="A26" s="18" t="str">
        <x:v>FR-014</x:v>
      </x:c>
      <x:c r="B26" s="18" t="str">
        <x:v>Functional</x:v>
      </x:c>
      <x:c r="C26" s="18" t="str">
        <x:v>Must</x:v>
      </x:c>
      <x:c r="D26" s="19" t="str">
        <x:v>Users shall record each outreach attempt as a separate event.</x:v>
      </x:c>
      <x:c r="E26" s="19" t="str">
        <x:v>Multiple attempts can be stored for one referral without overwriting earlier attempts.</x:v>
      </x:c>
      <x:c r="F26" s="19" t="str">
        <x:v>Configuration workbook; SQL/Python logic; UAT</x:v>
      </x:c>
      <x:c r="G26" s="19" t="str">
        <x:v>Functional test + UAT</x:v>
      </x:c>
      <x:c r="H26" s="20" t="str">
        <x:v>Not Started</x:v>
      </x:c>
      <x:c r="I26" s="20" t="str">
        <x:v>Not Tested</x:v>
      </x:c>
      <x:c r="J26" s="21" t="str"/>
      <x:c r="K26" s="21" t="str">
        <x:v>Brandon McDermott</x:v>
      </x:c>
      <x:c r="L26" s="21" t="str"/>
    </x:row>
    <x:row r="27" ht="54" customHeight="1">
      <x:c r="A27" s="18" t="str">
        <x:v>FR-015</x:v>
      </x:c>
      <x:c r="B27" s="18" t="str">
        <x:v>Functional</x:v>
      </x:c>
      <x:c r="C27" s="18" t="str">
        <x:v>Must</x:v>
      </x:c>
      <x:c r="D27" s="19" t="str">
        <x:v>Each outreach attempt shall capture timestamp, channel, outcome, and staff member.</x:v>
      </x:c>
      <x:c r="E27" s="19" t="str">
        <x:v>These fields are required for all completed outreach events.</x:v>
      </x:c>
      <x:c r="F27" s="19" t="str">
        <x:v>Configuration workbook; SQL/Python logic; UAT</x:v>
      </x:c>
      <x:c r="G27" s="19" t="str">
        <x:v>Functional test + UAT</x:v>
      </x:c>
      <x:c r="H27" s="20" t="str">
        <x:v>Not Started</x:v>
      </x:c>
      <x:c r="I27" s="20" t="str">
        <x:v>Not Tested</x:v>
      </x:c>
      <x:c r="J27" s="21" t="str"/>
      <x:c r="K27" s="21" t="str">
        <x:v>Brandon McDermott</x:v>
      </x:c>
      <x:c r="L27" s="21" t="str"/>
    </x:row>
    <x:row r="28" ht="54" customHeight="1">
      <x:c r="A28" s="18" t="str">
        <x:v>FR-016</x:v>
      </x:c>
      <x:c r="B28" s="18" t="str">
        <x:v>Functional</x:v>
      </x:c>
      <x:c r="C28" s="18" t="str">
        <x:v>Should</x:v>
      </x:c>
      <x:c r="D28" s="19" t="str">
        <x:v>Outreach attempts shall capture contacted party, next-action date, and optional notes.</x:v>
      </x:c>
      <x:c r="E28" s="19" t="str">
        <x:v>Fields are stored and retrievable for representative test events.</x:v>
      </x:c>
      <x:c r="F28" s="19" t="str">
        <x:v>Configuration workbook; SQL/Python logic; UAT</x:v>
      </x:c>
      <x:c r="G28" s="19" t="str">
        <x:v>Functional test + UAT</x:v>
      </x:c>
      <x:c r="H28" s="20" t="str">
        <x:v>Not Started</x:v>
      </x:c>
      <x:c r="I28" s="20" t="str">
        <x:v>Not Tested</x:v>
      </x:c>
      <x:c r="J28" s="21" t="str"/>
      <x:c r="K28" s="21" t="str">
        <x:v>Brandon McDermott</x:v>
      </x:c>
      <x:c r="L28" s="21" t="str"/>
    </x:row>
    <x:row r="29" ht="54" customHeight="1">
      <x:c r="A29" s="18" t="str">
        <x:v>FR-017</x:v>
      </x:c>
      <x:c r="B29" s="18" t="str">
        <x:v>Functional</x:v>
      </x:c>
      <x:c r="C29" s="18" t="str">
        <x:v>Must</x:v>
      </x:c>
      <x:c r="D29" s="19" t="str">
        <x:v>The system shall calculate attempt count and most recent attempt date.</x:v>
      </x:c>
      <x:c r="E29" s="19" t="str">
        <x:v>Derived results match the underlying outreach records.</x:v>
      </x:c>
      <x:c r="F29" s="19" t="str">
        <x:v>Configuration workbook; SQL/Python logic; UAT</x:v>
      </x:c>
      <x:c r="G29" s="19" t="str">
        <x:v>Functional test + UAT</x:v>
      </x:c>
      <x:c r="H29" s="20" t="str">
        <x:v>Not Started</x:v>
      </x:c>
      <x:c r="I29" s="20" t="str">
        <x:v>Not Tested</x:v>
      </x:c>
      <x:c r="J29" s="21" t="str"/>
      <x:c r="K29" s="21" t="str">
        <x:v>Brandon McDermott</x:v>
      </x:c>
      <x:c r="L29" s="21" t="str"/>
    </x:row>
    <x:row r="30" ht="54" customHeight="1">
      <x:c r="A30" s="18" t="str">
        <x:v>FR-018</x:v>
      </x:c>
      <x:c r="B30" s="18" t="str">
        <x:v>Functional</x:v>
      </x:c>
      <x:c r="C30" s="18" t="str">
        <x:v>Must</x:v>
      </x:c>
      <x:c r="D30" s="19" t="str">
        <x:v>Active outreach referrals shall have a documented next action or approved disposition.</x:v>
      </x:c>
      <x:c r="E30" s="19" t="str">
        <x:v>A query identifies referrals lacking both and returns no unresolved critical test cases after remediation.</x:v>
      </x:c>
      <x:c r="F30" s="19" t="str">
        <x:v>Configuration workbook; SQL/Python logic; UAT</x:v>
      </x:c>
      <x:c r="G30" s="19" t="str">
        <x:v>Functional test + UAT</x:v>
      </x:c>
      <x:c r="H30" s="20" t="str">
        <x:v>Not Started</x:v>
      </x:c>
      <x:c r="I30" s="20" t="str">
        <x:v>Not Tested</x:v>
      </x:c>
      <x:c r="J30" s="21" t="str"/>
      <x:c r="K30" s="21" t="str">
        <x:v>Brandon McDermott</x:v>
      </x:c>
      <x:c r="L30" s="21" t="str"/>
    </x:row>
    <x:row r="31" ht="54" customHeight="1">
      <x:c r="A31" s="18" t="str">
        <x:v>FR-019</x:v>
      </x:c>
      <x:c r="B31" s="18" t="str">
        <x:v>Functional</x:v>
      </x:c>
      <x:c r="C31" s="18" t="str">
        <x:v>Should</x:v>
      </x:c>
      <x:c r="D31" s="19" t="str">
        <x:v>Patient communication preference shall be visible when available.</x:v>
      </x:c>
      <x:c r="E31" s="19" t="str">
        <x:v>The preference appears in the referral dataset or work queue without replacing staff judgment.</x:v>
      </x:c>
      <x:c r="F31" s="19" t="str">
        <x:v>Configuration workbook; SQL/Python logic; UAT</x:v>
      </x:c>
      <x:c r="G31" s="19" t="str">
        <x:v>Functional test + UAT</x:v>
      </x:c>
      <x:c r="H31" s="20" t="str">
        <x:v>Not Started</x:v>
      </x:c>
      <x:c r="I31" s="20" t="str">
        <x:v>Not Tested</x:v>
      </x:c>
      <x:c r="J31" s="21" t="str"/>
      <x:c r="K31" s="21" t="str">
        <x:v>Brandon McDermott</x:v>
      </x:c>
      <x:c r="L31" s="21" t="str"/>
    </x:row>
    <x:row r="32" ht="54" customHeight="1">
      <x:c r="A32" s="18" t="str">
        <x:v>FR-020</x:v>
      </x:c>
      <x:c r="B32" s="18" t="str">
        <x:v>Functional</x:v>
      </x:c>
      <x:c r="C32" s="18" t="str">
        <x:v>Must</x:v>
      </x:c>
      <x:c r="D32" s="19" t="str">
        <x:v>Users shall record specialist, appointment date, location or modality, and scheduling source.</x:v>
      </x:c>
      <x:c r="E32" s="19" t="str">
        <x:v>A scheduled referral contains all required appointment fields.</x:v>
      </x:c>
      <x:c r="F32" s="19" t="str">
        <x:v>Configuration workbook; SQL/Python logic; UAT</x:v>
      </x:c>
      <x:c r="G32" s="19" t="str">
        <x:v>Functional test + UAT</x:v>
      </x:c>
      <x:c r="H32" s="20" t="str">
        <x:v>Not Started</x:v>
      </x:c>
      <x:c r="I32" s="20" t="str">
        <x:v>Not Tested</x:v>
      </x:c>
      <x:c r="J32" s="21" t="str"/>
      <x:c r="K32" s="21" t="str">
        <x:v>Brandon McDermott</x:v>
      </x:c>
      <x:c r="L32" s="21" t="str"/>
    </x:row>
    <x:row r="33" ht="54" customHeight="1">
      <x:c r="A33" s="18" t="str">
        <x:v>FR-021</x:v>
      </x:c>
      <x:c r="B33" s="18" t="str">
        <x:v>Functional</x:v>
      </x:c>
      <x:c r="C33" s="18" t="str">
        <x:v>Must</x:v>
      </x:c>
      <x:c r="D33" s="19" t="str">
        <x:v>Setting an appointment shall change referral status to `Scheduled` but shall not close the referral.</x:v>
      </x:c>
      <x:c r="E33" s="19" t="str">
        <x:v>A scheduled test referral remains active and does not meet completed-closure logic.</x:v>
      </x:c>
      <x:c r="F33" s="19" t="str">
        <x:v>Configuration workbook; SQL/Python logic; UAT</x:v>
      </x:c>
      <x:c r="G33" s="19" t="str">
        <x:v>Functional test + UAT</x:v>
      </x:c>
      <x:c r="H33" s="20" t="str">
        <x:v>Not Started</x:v>
      </x:c>
      <x:c r="I33" s="20" t="str">
        <x:v>Not Tested</x:v>
      </x:c>
      <x:c r="J33" s="21" t="str"/>
      <x:c r="K33" s="21" t="str">
        <x:v>Brandon McDermott</x:v>
      </x:c>
      <x:c r="L33" s="21" t="str"/>
    </x:row>
    <x:row r="34" ht="54" customHeight="1">
      <x:c r="A34" s="18" t="str">
        <x:v>FR-022</x:v>
      </x:c>
      <x:c r="B34" s="18" t="str">
        <x:v>Functional</x:v>
      </x:c>
      <x:c r="C34" s="18" t="str">
        <x:v>Must</x:v>
      </x:c>
      <x:c r="D34" s="19" t="str">
        <x:v>The system shall support completed, cancelled, no-show, rescheduled, and unknown appointment outcomes.</x:v>
      </x:c>
      <x:c r="E34" s="19" t="str">
        <x:v>Each seeded outcome is accepted and routed according to the workflow.</x:v>
      </x:c>
      <x:c r="F34" s="19" t="str">
        <x:v>Configuration workbook; SQL/Python logic; UAT</x:v>
      </x:c>
      <x:c r="G34" s="19" t="str">
        <x:v>Functional test + UAT</x:v>
      </x:c>
      <x:c r="H34" s="20" t="str">
        <x:v>Not Started</x:v>
      </x:c>
      <x:c r="I34" s="20" t="str">
        <x:v>Not Tested</x:v>
      </x:c>
      <x:c r="J34" s="21" t="str"/>
      <x:c r="K34" s="21" t="str">
        <x:v>Brandon McDermott</x:v>
      </x:c>
      <x:c r="L34" s="21" t="str"/>
    </x:row>
    <x:row r="35" ht="54" customHeight="1">
      <x:c r="A35" s="18" t="str">
        <x:v>FR-023</x:v>
      </x:c>
      <x:c r="B35" s="18" t="str">
        <x:v>Functional</x:v>
      </x:c>
      <x:c r="C35" s="18" t="str">
        <x:v>Must</x:v>
      </x:c>
      <x:c r="D35" s="19" t="str">
        <x:v>Elapsed appointments lacking a final outcome shall appear in an appointment-verification queue.</x:v>
      </x:c>
      <x:c r="E35" s="19" t="str">
        <x:v>A past appointment with no outcome appears in the queue.</x:v>
      </x:c>
      <x:c r="F35" s="19" t="str">
        <x:v>Configuration workbook; SQL/Python logic; UAT</x:v>
      </x:c>
      <x:c r="G35" s="19" t="str">
        <x:v>Functional test + UAT</x:v>
      </x:c>
      <x:c r="H35" s="20" t="str">
        <x:v>Not Started</x:v>
      </x:c>
      <x:c r="I35" s="20" t="str">
        <x:v>Not Tested</x:v>
      </x:c>
      <x:c r="J35" s="21" t="str"/>
      <x:c r="K35" s="21" t="str">
        <x:v>Brandon McDermott</x:v>
      </x:c>
      <x:c r="L35" s="21" t="str"/>
    </x:row>
    <x:row r="36" ht="54" customHeight="1">
      <x:c r="A36" s="18" t="str">
        <x:v>FR-024</x:v>
      </x:c>
      <x:c r="B36" s="18" t="str">
        <x:v>Functional</x:v>
      </x:c>
      <x:c r="C36" s="18" t="str">
        <x:v>Should</x:v>
      </x:c>
      <x:c r="D36" s="19" t="str">
        <x:v>Rescheduling shall preserve prior appointment history.</x:v>
      </x:c>
      <x:c r="E36" s="19" t="str">
        <x:v>Both original and replacement appointment records remain available.</x:v>
      </x:c>
      <x:c r="F36" s="19" t="str">
        <x:v>Configuration workbook; SQL/Python logic; UAT</x:v>
      </x:c>
      <x:c r="G36" s="19" t="str">
        <x:v>Functional test + UAT</x:v>
      </x:c>
      <x:c r="H36" s="20" t="str">
        <x:v>Not Started</x:v>
      </x:c>
      <x:c r="I36" s="20" t="str">
        <x:v>Not Tested</x:v>
      </x:c>
      <x:c r="J36" s="21" t="str"/>
      <x:c r="K36" s="21" t="str">
        <x:v>Brandon McDermott</x:v>
      </x:c>
      <x:c r="L36" s="21" t="str"/>
    </x:row>
    <x:row r="37" ht="54" customHeight="1">
      <x:c r="A37" s="18" t="str">
        <x:v>FR-025</x:v>
      </x:c>
      <x:c r="B37" s="18" t="str">
        <x:v>Functional</x:v>
      </x:c>
      <x:c r="C37" s="18" t="str">
        <x:v>Must</x:v>
      </x:c>
      <x:c r="D37" s="19" t="str">
        <x:v>Cancellation and no-show outcomes shall require a next action or approved closure review.</x:v>
      </x:c>
      <x:c r="E37" s="19" t="str">
        <x:v>Seeded cancelled and no-show cases cannot disappear from active work without disposition.</x:v>
      </x:c>
      <x:c r="F37" s="19" t="str">
        <x:v>Configuration workbook; SQL/Python logic; UAT</x:v>
      </x:c>
      <x:c r="G37" s="19" t="str">
        <x:v>Functional test + UAT</x:v>
      </x:c>
      <x:c r="H37" s="20" t="str">
        <x:v>Not Started</x:v>
      </x:c>
      <x:c r="I37" s="20" t="str">
        <x:v>Not Tested</x:v>
      </x:c>
      <x:c r="J37" s="21" t="str"/>
      <x:c r="K37" s="21" t="str">
        <x:v>Brandon McDermott</x:v>
      </x:c>
      <x:c r="L37" s="21" t="str"/>
    </x:row>
    <x:row r="38" ht="54" customHeight="1">
      <x:c r="A38" s="18" t="str">
        <x:v>FR-026</x:v>
      </x:c>
      <x:c r="B38" s="18" t="str">
        <x:v>Functional</x:v>
      </x:c>
      <x:c r="C38" s="18" t="str">
        <x:v>Must</x:v>
      </x:c>
      <x:c r="D38" s="19" t="str">
        <x:v>A completed appointment shall move the referral to `Completed—Report Pending` unless an approved exception applies.</x:v>
      </x:c>
      <x:c r="E38" s="19" t="str">
        <x:v>A completed test encounter enters the report-pending workflow.</x:v>
      </x:c>
      <x:c r="F38" s="19" t="str">
        <x:v>Configuration workbook; SQL/Python logic; UAT</x:v>
      </x:c>
      <x:c r="G38" s="19" t="str">
        <x:v>Functional test + UAT</x:v>
      </x:c>
      <x:c r="H38" s="20" t="str">
        <x:v>Not Started</x:v>
      </x:c>
      <x:c r="I38" s="20" t="str">
        <x:v>Not Tested</x:v>
      </x:c>
      <x:c r="J38" s="21" t="str"/>
      <x:c r="K38" s="21" t="str">
        <x:v>Brandon McDermott</x:v>
      </x:c>
      <x:c r="L38" s="21" t="str"/>
    </x:row>
    <x:row r="39" ht="54" customHeight="1">
      <x:c r="A39" s="18" t="str">
        <x:v>FR-027</x:v>
      </x:c>
      <x:c r="B39" s="18" t="str">
        <x:v>Functional</x:v>
      </x:c>
      <x:c r="C39" s="18" t="str">
        <x:v>Must</x:v>
      </x:c>
      <x:c r="D39" s="19" t="str">
        <x:v>The system shall capture report received date, source, and document identifier.</x:v>
      </x:c>
      <x:c r="E39" s="19" t="str">
        <x:v>These values are available for each linked report.</x:v>
      </x:c>
      <x:c r="F39" s="19" t="str">
        <x:v>Configuration workbook; SQL/Python logic; UAT</x:v>
      </x:c>
      <x:c r="G39" s="19" t="str">
        <x:v>Functional test + UAT</x:v>
      </x:c>
      <x:c r="H39" s="20" t="str">
        <x:v>Not Started</x:v>
      </x:c>
      <x:c r="I39" s="20" t="str">
        <x:v>Not Tested</x:v>
      </x:c>
      <x:c r="J39" s="21" t="str"/>
      <x:c r="K39" s="21" t="str">
        <x:v>Brandon McDermott</x:v>
      </x:c>
      <x:c r="L39" s="21" t="str"/>
    </x:row>
    <x:row r="40" ht="54" customHeight="1">
      <x:c r="A40" s="18" t="str">
        <x:v>FR-028</x:v>
      </x:c>
      <x:c r="B40" s="18" t="str">
        <x:v>Functional</x:v>
      </x:c>
      <x:c r="C40" s="18" t="str">
        <x:v>Must</x:v>
      </x:c>
      <x:c r="D40" s="19" t="str">
        <x:v>A consultation report shall be linked to the originating referral.</x:v>
      </x:c>
      <x:c r="E40" s="19" t="str">
        <x:v>The linked referral identifier is non-null, or the report appears in a matching-exception queue.</x:v>
      </x:c>
      <x:c r="F40" s="19" t="str">
        <x:v>Configuration workbook; SQL/Python logic; UAT</x:v>
      </x:c>
      <x:c r="G40" s="19" t="str">
        <x:v>Functional test + UAT</x:v>
      </x:c>
      <x:c r="H40" s="20" t="str">
        <x:v>Not Started</x:v>
      </x:c>
      <x:c r="I40" s="20" t="str">
        <x:v>Not Tested</x:v>
      </x:c>
      <x:c r="J40" s="21" t="str"/>
      <x:c r="K40" s="21" t="str">
        <x:v>Brandon McDermott</x:v>
      </x:c>
      <x:c r="L40" s="21" t="str"/>
    </x:row>
    <x:row r="41" ht="54" customHeight="1">
      <x:c r="A41" s="18" t="str">
        <x:v>FR-029</x:v>
      </x:c>
      <x:c r="B41" s="18" t="str">
        <x:v>Functional</x:v>
      </x:c>
      <x:c r="C41" s="18" t="str">
        <x:v>Must</x:v>
      </x:c>
      <x:c r="D41" s="19" t="str">
        <x:v>Unmatched or ambiguously matched reports shall require human review.</x:v>
      </x:c>
      <x:c r="E41" s="19" t="str">
        <x:v>Seeded ambiguous reports are not automatically attached and appear in the exception queue.</x:v>
      </x:c>
      <x:c r="F41" s="19" t="str">
        <x:v>Configuration workbook; SQL/Python logic; UAT</x:v>
      </x:c>
      <x:c r="G41" s="19" t="str">
        <x:v>Functional test + UAT</x:v>
      </x:c>
      <x:c r="H41" s="20" t="str">
        <x:v>Not Started</x:v>
      </x:c>
      <x:c r="I41" s="20" t="str">
        <x:v>Not Tested</x:v>
      </x:c>
      <x:c r="J41" s="21" t="str"/>
      <x:c r="K41" s="21" t="str">
        <x:v>Brandon McDermott</x:v>
      </x:c>
      <x:c r="L41" s="21" t="str"/>
    </x:row>
    <x:row r="42" ht="54" customHeight="1">
      <x:c r="A42" s="18" t="str">
        <x:v>FR-030</x:v>
      </x:c>
      <x:c r="B42" s="18" t="str">
        <x:v>Functional</x:v>
      </x:c>
      <x:c r="C42" s="18" t="str">
        <x:v>Must</x:v>
      </x:c>
      <x:c r="D42" s="19" t="str">
        <x:v>Completed visits without reports shall appear in the report-pending queue.</x:v>
      </x:c>
      <x:c r="E42" s="19" t="str">
        <x:v>The queue includes all seeded completed visits lacking reports and excludes those with valid reports.</x:v>
      </x:c>
      <x:c r="F42" s="19" t="str">
        <x:v>Configuration workbook; SQL/Python logic; UAT</x:v>
      </x:c>
      <x:c r="G42" s="19" t="str">
        <x:v>Functional test + UAT</x:v>
      </x:c>
      <x:c r="H42" s="20" t="str">
        <x:v>Not Started</x:v>
      </x:c>
      <x:c r="I42" s="20" t="str">
        <x:v>Not Tested</x:v>
      </x:c>
      <x:c r="J42" s="21" t="str"/>
      <x:c r="K42" s="21" t="str">
        <x:v>Brandon McDermott</x:v>
      </x:c>
      <x:c r="L42" s="21" t="str"/>
    </x:row>
    <x:row r="43" ht="54" customHeight="1">
      <x:c r="A43" s="18" t="str">
        <x:v>FR-031</x:v>
      </x:c>
      <x:c r="B43" s="18" t="str">
        <x:v>Functional</x:v>
      </x:c>
      <x:c r="C43" s="18" t="str">
        <x:v>Must</x:v>
      </x:c>
      <x:c r="D43" s="19" t="str">
        <x:v>`Closed—Completed` shall require a completed encounter, received linked report, report routing, and required clinician review.</x:v>
      </x:c>
      <x:c r="E43" s="19" t="str">
        <x:v>A referral missing any required milestone fails completed-closure validation.</x:v>
      </x:c>
      <x:c r="F43" s="19" t="str">
        <x:v>Configuration workbook; SQL/Python logic; UAT</x:v>
      </x:c>
      <x:c r="G43" s="19" t="str">
        <x:v>Functional test + UAT</x:v>
      </x:c>
      <x:c r="H43" s="20" t="str">
        <x:v>Not Started</x:v>
      </x:c>
      <x:c r="I43" s="20" t="str">
        <x:v>Not Tested</x:v>
      </x:c>
      <x:c r="J43" s="21" t="str"/>
      <x:c r="K43" s="21" t="str">
        <x:v>Brandon McDermott</x:v>
      </x:c>
      <x:c r="L43" s="21" t="str"/>
    </x:row>
    <x:row r="44" ht="54" customHeight="1">
      <x:c r="A44" s="18" t="str">
        <x:v>FR-032</x:v>
      </x:c>
      <x:c r="B44" s="18" t="str">
        <x:v>Functional</x:v>
      </x:c>
      <x:c r="C44" s="18" t="str">
        <x:v>Must</x:v>
      </x:c>
      <x:c r="D44" s="19" t="str">
        <x:v>`Closed—Not Completed` shall require an approved reason and authorized disposition.</x:v>
      </x:c>
      <x:c r="E44" s="19" t="str">
        <x:v>A non-completed closure lacking an approved reason is rejected or flagged.</x:v>
      </x:c>
      <x:c r="F44" s="19" t="str">
        <x:v>Configuration workbook; SQL/Python logic; UAT</x:v>
      </x:c>
      <x:c r="G44" s="19" t="str">
        <x:v>Functional test + UAT</x:v>
      </x:c>
      <x:c r="H44" s="20" t="str">
        <x:v>Not Started</x:v>
      </x:c>
      <x:c r="I44" s="20" t="str">
        <x:v>Not Tested</x:v>
      </x:c>
      <x:c r="J44" s="21" t="str"/>
      <x:c r="K44" s="21" t="str">
        <x:v>Brandon McDermott</x:v>
      </x:c>
      <x:c r="L44" s="21" t="str"/>
    </x:row>
    <x:row r="45" ht="54" customHeight="1">
      <x:c r="A45" s="18" t="str">
        <x:v>FR-033</x:v>
      </x:c>
      <x:c r="B45" s="18" t="str">
        <x:v>Functional</x:v>
      </x:c>
      <x:c r="C45" s="18" t="str">
        <x:v>Must</x:v>
      </x:c>
      <x:c r="D45" s="19" t="str">
        <x:v>Cancellation shall be distinguishable from non-completion.</x:v>
      </x:c>
      <x:c r="E45" s="19" t="str">
        <x:v>Cancelled and closed-not-completed are separate status or disposition values.</x:v>
      </x:c>
      <x:c r="F45" s="19" t="str">
        <x:v>Configuration workbook; SQL/Python logic; UAT</x:v>
      </x:c>
      <x:c r="G45" s="19" t="str">
        <x:v>Functional test + UAT</x:v>
      </x:c>
      <x:c r="H45" s="20" t="str">
        <x:v>Not Started</x:v>
      </x:c>
      <x:c r="I45" s="20" t="str">
        <x:v>Not Tested</x:v>
      </x:c>
      <x:c r="J45" s="21" t="str"/>
      <x:c r="K45" s="21" t="str">
        <x:v>Brandon McDermott</x:v>
      </x:c>
      <x:c r="L45" s="21" t="str"/>
    </x:row>
    <x:row r="46" ht="54" customHeight="1">
      <x:c r="A46" s="18" t="str">
        <x:v>FR-034</x:v>
      </x:c>
      <x:c r="B46" s="18" t="str">
        <x:v>Functional</x:v>
      </x:c>
      <x:c r="C46" s="18" t="str">
        <x:v>Should</x:v>
      </x:c>
      <x:c r="D46" s="19" t="str">
        <x:v>Authorized users shall be able to reopen a terminal referral with a reason.</x:v>
      </x:c>
      <x:c r="E46" s="19" t="str">
        <x:v>The action preserves prior closure data and records the user, timestamp, and reason.</x:v>
      </x:c>
      <x:c r="F46" s="19" t="str">
        <x:v>Configuration workbook; SQL/Python logic; UAT</x:v>
      </x:c>
      <x:c r="G46" s="19" t="str">
        <x:v>Functional test + UAT</x:v>
      </x:c>
      <x:c r="H46" s="20" t="str">
        <x:v>Not Started</x:v>
      </x:c>
      <x:c r="I46" s="20" t="str">
        <x:v>Not Tested</x:v>
      </x:c>
      <x:c r="J46" s="21" t="str"/>
      <x:c r="K46" s="21" t="str">
        <x:v>Brandon McDermott</x:v>
      </x:c>
      <x:c r="L46" s="21" t="str"/>
    </x:row>
    <x:row r="47" ht="54" customHeight="1">
      <x:c r="A47" s="18" t="str">
        <x:v>FR-035</x:v>
      </x:c>
      <x:c r="B47" s="18" t="str">
        <x:v>Functional</x:v>
      </x:c>
      <x:c r="C47" s="18" t="str">
        <x:v>Must</x:v>
      </x:c>
      <x:c r="D47" s="19" t="str">
        <x:v>Every material referral-status change shall create a history record.</x:v>
      </x:c>
      <x:c r="E47" s="19" t="str">
        <x:v>Status-history counts and timestamps reconcile with test-case transitions.</x:v>
      </x:c>
      <x:c r="F47" s="19" t="str">
        <x:v>Configuration workbook; SQL/Python logic; UAT</x:v>
      </x:c>
      <x:c r="G47" s="19" t="str">
        <x:v>Functional test + UAT</x:v>
      </x:c>
      <x:c r="H47" s="20" t="str">
        <x:v>Not Started</x:v>
      </x:c>
      <x:c r="I47" s="20" t="str">
        <x:v>Not Tested</x:v>
      </x:c>
      <x:c r="J47" s="21" t="str"/>
      <x:c r="K47" s="21" t="str">
        <x:v>Brandon McDermott</x:v>
      </x:c>
      <x:c r="L47" s="21" t="str"/>
    </x:row>
    <x:row r="48" ht="54" customHeight="1">
      <x:c r="A48" s="18" t="str">
        <x:v>FR-036</x:v>
      </x:c>
      <x:c r="B48" s="18" t="str">
        <x:v>Functional</x:v>
      </x:c>
      <x:c r="C48" s="18" t="str">
        <x:v>Must</x:v>
      </x:c>
      <x:c r="D48" s="19" t="str">
        <x:v>Status history shall capture prior status, new status, timestamp, and source or user.</x:v>
      </x:c>
      <x:c r="E48" s="19" t="str">
        <x:v>All required fields are present for valid history records.</x:v>
      </x:c>
      <x:c r="F48" s="19" t="str">
        <x:v>Configuration workbook; SQL/Python logic; UAT</x:v>
      </x:c>
      <x:c r="G48" s="19" t="str">
        <x:v>Functional test + UAT</x:v>
      </x:c>
      <x:c r="H48" s="20" t="str">
        <x:v>Not Started</x:v>
      </x:c>
      <x:c r="I48" s="20" t="str">
        <x:v>Not Tested</x:v>
      </x:c>
      <x:c r="J48" s="21" t="str"/>
      <x:c r="K48" s="21" t="str">
        <x:v>Brandon McDermott</x:v>
      </x:c>
      <x:c r="L48" s="21" t="str"/>
    </x:row>
    <x:row r="49" ht="54" customHeight="1">
      <x:c r="A49" s="18" t="str">
        <x:v>FR-037</x:v>
      </x:c>
      <x:c r="B49" s="18" t="str">
        <x:v>Functional</x:v>
      </x:c>
      <x:c r="C49" s="18" t="str">
        <x:v>Must</x:v>
      </x:c>
      <x:c r="D49" s="19" t="str">
        <x:v>Invalid status transitions shall be rejected or flagged.</x:v>
      </x:c>
      <x:c r="E49" s="19" t="str">
        <x:v>Representative invalid transitions produce the expected error or exception.</x:v>
      </x:c>
      <x:c r="F49" s="19" t="str">
        <x:v>Configuration workbook; SQL/Python logic; UAT</x:v>
      </x:c>
      <x:c r="G49" s="19" t="str">
        <x:v>Functional test + UAT</x:v>
      </x:c>
      <x:c r="H49" s="20" t="str">
        <x:v>Not Started</x:v>
      </x:c>
      <x:c r="I49" s="20" t="str">
        <x:v>Not Tested</x:v>
      </x:c>
      <x:c r="J49" s="21" t="str"/>
      <x:c r="K49" s="21" t="str">
        <x:v>Brandon McDermott</x:v>
      </x:c>
      <x:c r="L49" s="21" t="str"/>
    </x:row>
    <x:row r="50" ht="54" customHeight="1">
      <x:c r="A50" s="18" t="str">
        <x:v>FR-038</x:v>
      </x:c>
      <x:c r="B50" s="18" t="str">
        <x:v>Functional</x:v>
      </x:c>
      <x:c r="C50" s="18" t="str">
        <x:v>Should</x:v>
      </x:c>
      <x:c r="D50" s="19" t="str">
        <x:v>Users shall be able to view a chronological referral timeline.</x:v>
      </x:c>
      <x:c r="E50" s="19" t="str">
        <x:v>A query or view returns ordered referral events for a selected record.</x:v>
      </x:c>
      <x:c r="F50" s="19" t="str">
        <x:v>Configuration workbook; SQL/Python logic; UAT</x:v>
      </x:c>
      <x:c r="G50" s="19" t="str">
        <x:v>Functional test + UAT</x:v>
      </x:c>
      <x:c r="H50" s="20" t="str">
        <x:v>Not Started</x:v>
      </x:c>
      <x:c r="I50" s="20" t="str">
        <x:v>Not Tested</x:v>
      </x:c>
      <x:c r="J50" s="21" t="str"/>
      <x:c r="K50" s="21" t="str">
        <x:v>Brandon McDermott</x:v>
      </x:c>
      <x:c r="L50" s="21" t="str"/>
    </x:row>
    <x:row r="51" ht="54" customHeight="1">
      <x:c r="A51" s="18" t="str">
        <x:v>DR-001</x:v>
      </x:c>
      <x:c r="B51" s="18" t="str">
        <x:v>Data</x:v>
      </x:c>
      <x:c r="C51" s="18" t="str">
        <x:v>Must</x:v>
      </x:c>
      <x:c r="D51" s="19" t="str">
        <x:v>The solution shall maintain defined patient, provider, organization, location, payer, specialty, referral, status-history, outreach, appointment, report, and user entities.</x:v>
      </x:c>
      <x:c r="E51" s="19" t="str">
        <x:v>The physical schema contains the approved entities and relationships.</x:v>
      </x:c>
      <x:c r="F51" s="19" t="str">
        <x:v>Data model; data dictionary; SQL/Python validation</x:v>
      </x:c>
      <x:c r="G51" s="19" t="str">
        <x:v>SQL/Python validation</x:v>
      </x:c>
      <x:c r="H51" s="20" t="str">
        <x:v>Not Started</x:v>
      </x:c>
      <x:c r="I51" s="20" t="str">
        <x:v>Not Tested</x:v>
      </x:c>
      <x:c r="J51" s="21" t="str"/>
      <x:c r="K51" s="21" t="str">
        <x:v>Brandon McDermott</x:v>
      </x:c>
      <x:c r="L51" s="21" t="str"/>
    </x:row>
    <x:row r="52" ht="54" customHeight="1">
      <x:c r="A52" s="18" t="str">
        <x:v>DR-002</x:v>
      </x:c>
      <x:c r="B52" s="18" t="str">
        <x:v>Data</x:v>
      </x:c>
      <x:c r="C52" s="18" t="str">
        <x:v>Must</x:v>
      </x:c>
      <x:c r="D52" s="19" t="str">
        <x:v>Primary and foreign keys shall enforce referential integrity.</x:v>
      </x:c>
      <x:c r="E52" s="19" t="str">
        <x:v>Orphan-record tests return zero unexplained records after the validated load.</x:v>
      </x:c>
      <x:c r="F52" s="19" t="str">
        <x:v>Data model; data dictionary; SQL/Python validation</x:v>
      </x:c>
      <x:c r="G52" s="19" t="str">
        <x:v>SQL/Python validation</x:v>
      </x:c>
      <x:c r="H52" s="20" t="str">
        <x:v>Not Started</x:v>
      </x:c>
      <x:c r="I52" s="20" t="str">
        <x:v>Not Tested</x:v>
      </x:c>
      <x:c r="J52" s="21" t="str"/>
      <x:c r="K52" s="21" t="str">
        <x:v>Brandon McDermott</x:v>
      </x:c>
      <x:c r="L52" s="21" t="str"/>
    </x:row>
    <x:row r="53" ht="54" customHeight="1">
      <x:c r="A53" s="18" t="str">
        <x:v>DR-003</x:v>
      </x:c>
      <x:c r="B53" s="18" t="str">
        <x:v>Data</x:v>
      </x:c>
      <x:c r="C53" s="18" t="str">
        <x:v>Must</x:v>
      </x:c>
      <x:c r="D53" s="19" t="str">
        <x:v>Controlled workflow values shall use reference tables or enforceable constraints.</x:v>
      </x:c>
      <x:c r="E53" s="19" t="str">
        <x:v>Invalid statuses, priorities, appointment outcomes, and closure reasons are rejected or captured as exceptions.</x:v>
      </x:c>
      <x:c r="F53" s="19" t="str">
        <x:v>Data model; data dictionary; SQL/Python validation</x:v>
      </x:c>
      <x:c r="G53" s="19" t="str">
        <x:v>SQL/Python validation</x:v>
      </x:c>
      <x:c r="H53" s="20" t="str">
        <x:v>Not Started</x:v>
      </x:c>
      <x:c r="I53" s="20" t="str">
        <x:v>Not Tested</x:v>
      </x:c>
      <x:c r="J53" s="21" t="str"/>
      <x:c r="K53" s="21" t="str">
        <x:v>Brandon McDermott</x:v>
      </x:c>
      <x:c r="L53" s="21" t="str"/>
    </x:row>
    <x:row r="54" ht="54" customHeight="1">
      <x:c r="A54" s="18" t="str">
        <x:v>DR-004</x:v>
      </x:c>
      <x:c r="B54" s="18" t="str">
        <x:v>Data</x:v>
      </x:c>
      <x:c r="C54" s="18" t="str">
        <x:v>Must</x:v>
      </x:c>
      <x:c r="D54" s="19" t="str">
        <x:v>The database shall preserve source identifiers and source-system attribution.</x:v>
      </x:c>
      <x:c r="E54" s="19" t="str">
        <x:v>Migrated records can be traced from target to source.</x:v>
      </x:c>
      <x:c r="F54" s="19" t="str">
        <x:v>Data model; data dictionary; SQL/Python validation</x:v>
      </x:c>
      <x:c r="G54" s="19" t="str">
        <x:v>SQL/Python validation</x:v>
      </x:c>
      <x:c r="H54" s="20" t="str">
        <x:v>Not Started</x:v>
      </x:c>
      <x:c r="I54" s="20" t="str">
        <x:v>Not Tested</x:v>
      </x:c>
      <x:c r="J54" s="21" t="str"/>
      <x:c r="K54" s="21" t="str">
        <x:v>Brandon McDermott</x:v>
      </x:c>
      <x:c r="L54" s="21" t="str"/>
    </x:row>
    <x:row r="55" ht="54" customHeight="1">
      <x:c r="A55" s="18" t="str">
        <x:v>DR-005</x:v>
      </x:c>
      <x:c r="B55" s="18" t="str">
        <x:v>Data</x:v>
      </x:c>
      <x:c r="C55" s="18" t="str">
        <x:v>Must</x:v>
      </x:c>
      <x:c r="D55" s="19" t="str">
        <x:v>Required timestamps shall use one documented time-zone convention.</x:v>
      </x:c>
      <x:c r="E55" s="19" t="str">
        <x:v>The data dictionary identifies the convention and validation finds no invalid timestamp formats.</x:v>
      </x:c>
      <x:c r="F55" s="19" t="str">
        <x:v>Data model; data dictionary; SQL/Python validation</x:v>
      </x:c>
      <x:c r="G55" s="19" t="str">
        <x:v>SQL/Python validation</x:v>
      </x:c>
      <x:c r="H55" s="20" t="str">
        <x:v>Not Started</x:v>
      </x:c>
      <x:c r="I55" s="20" t="str">
        <x:v>Not Tested</x:v>
      </x:c>
      <x:c r="J55" s="21" t="str"/>
      <x:c r="K55" s="21" t="str">
        <x:v>Brandon McDermott</x:v>
      </x:c>
      <x:c r="L55" s="21" t="str"/>
    </x:row>
    <x:row r="56" ht="54" customHeight="1">
      <x:c r="A56" s="18" t="str">
        <x:v>DR-006</x:v>
      </x:c>
      <x:c r="B56" s="18" t="str">
        <x:v>Data</x:v>
      </x:c>
      <x:c r="C56" s="18" t="str">
        <x:v>Must</x:v>
      </x:c>
      <x:c r="D56" s="19" t="str">
        <x:v>Raw, transformed, and analytical data shall remain distinguishable.</x:v>
      </x:c>
      <x:c r="E56" s="19" t="str">
        <x:v>Separate files, schemas, tables, or documented layers exist for each stage.</x:v>
      </x:c>
      <x:c r="F56" s="19" t="str">
        <x:v>Data model; data dictionary; SQL/Python validation</x:v>
      </x:c>
      <x:c r="G56" s="19" t="str">
        <x:v>SQL/Python validation</x:v>
      </x:c>
      <x:c r="H56" s="20" t="str">
        <x:v>Not Started</x:v>
      </x:c>
      <x:c r="I56" s="20" t="str">
        <x:v>Not Tested</x:v>
      </x:c>
      <x:c r="J56" s="21" t="str"/>
      <x:c r="K56" s="21" t="str">
        <x:v>Brandon McDermott</x:v>
      </x:c>
      <x:c r="L56" s="21" t="str"/>
    </x:row>
    <x:row r="57" ht="54" customHeight="1">
      <x:c r="A57" s="18" t="str">
        <x:v>DR-007</x:v>
      </x:c>
      <x:c r="B57" s="18" t="str">
        <x:v>Data</x:v>
      </x:c>
      <x:c r="C57" s="18" t="str">
        <x:v>Must</x:v>
      </x:c>
      <x:c r="D57" s="19" t="str">
        <x:v>Migration validation shall reconcile source and target record counts.</x:v>
      </x:c>
      <x:c r="E57" s="19" t="str">
        <x:v>Counts are documented by entity, including accepted, rejected, and exception records.</x:v>
      </x:c>
      <x:c r="F57" s="19" t="str">
        <x:v>Data model; data dictionary; SQL/Python validation</x:v>
      </x:c>
      <x:c r="G57" s="19" t="str">
        <x:v>SQL/Python validation</x:v>
      </x:c>
      <x:c r="H57" s="20" t="str">
        <x:v>Not Started</x:v>
      </x:c>
      <x:c r="I57" s="20" t="str">
        <x:v>Not Tested</x:v>
      </x:c>
      <x:c r="J57" s="21" t="str"/>
      <x:c r="K57" s="21" t="str">
        <x:v>Brandon McDermott</x:v>
      </x:c>
      <x:c r="L57" s="21" t="str"/>
    </x:row>
    <x:row r="58" ht="54" customHeight="1">
      <x:c r="A58" s="18" t="str">
        <x:v>DR-008</x:v>
      </x:c>
      <x:c r="B58" s="18" t="str">
        <x:v>Data</x:v>
      </x:c>
      <x:c r="C58" s="18" t="str">
        <x:v>Must</x:v>
      </x:c>
      <x:c r="D58" s="19" t="str">
        <x:v>Migration validation shall check required fields, duplicates, referential integrity, allowed values, and date logic.</x:v>
      </x:c>
      <x:c r="E58" s="19" t="str">
        <x:v>Each check has a reproducible SQL or Python result.</x:v>
      </x:c>
      <x:c r="F58" s="19" t="str">
        <x:v>Data model; data dictionary; SQL/Python validation</x:v>
      </x:c>
      <x:c r="G58" s="19" t="str">
        <x:v>SQL/Python validation</x:v>
      </x:c>
      <x:c r="H58" s="20" t="str">
        <x:v>Not Started</x:v>
      </x:c>
      <x:c r="I58" s="20" t="str">
        <x:v>Not Tested</x:v>
      </x:c>
      <x:c r="J58" s="21" t="str"/>
      <x:c r="K58" s="21" t="str">
        <x:v>Brandon McDermott</x:v>
      </x:c>
      <x:c r="L58" s="21" t="str"/>
    </x:row>
    <x:row r="59" ht="54" customHeight="1">
      <x:c r="A59" s="18" t="str">
        <x:v>DR-009</x:v>
      </x:c>
      <x:c r="B59" s="18" t="str">
        <x:v>Data</x:v>
      </x:c>
      <x:c r="C59" s="18" t="str">
        <x:v>Must</x:v>
      </x:c>
      <x:c r="D59" s="19" t="str">
        <x:v>Synthetic data shall include realistic exceptions and workflow variation.</x:v>
      </x:c>
      <x:c r="E59" s="19" t="str">
        <x:v>The dataset contains documented missing, duplicate, late, cancelled, no-show, unmatched, and overdue cases.</x:v>
      </x:c>
      <x:c r="F59" s="19" t="str">
        <x:v>Data model; data dictionary; SQL/Python validation</x:v>
      </x:c>
      <x:c r="G59" s="19" t="str">
        <x:v>SQL/Python validation</x:v>
      </x:c>
      <x:c r="H59" s="20" t="str">
        <x:v>Not Started</x:v>
      </x:c>
      <x:c r="I59" s="20" t="str">
        <x:v>Not Tested</x:v>
      </x:c>
      <x:c r="J59" s="21" t="str"/>
      <x:c r="K59" s="21" t="str">
        <x:v>Brandon McDermott</x:v>
      </x:c>
      <x:c r="L59" s="21" t="str"/>
    </x:row>
    <x:row r="60" ht="54" customHeight="1">
      <x:c r="A60" s="18" t="str">
        <x:v>DR-010</x:v>
      </x:c>
      <x:c r="B60" s="18" t="str">
        <x:v>Data</x:v>
      </x:c>
      <x:c r="C60" s="18" t="str">
        <x:v>Must</x:v>
      </x:c>
      <x:c r="D60" s="19" t="str">
        <x:v>No real patient data or PHI shall appear in the project.</x:v>
      </x:c>
      <x:c r="E60" s="19" t="str">
        <x:v>Manual review and automated scans find no known real patient identifiers or credentials.</x:v>
      </x:c>
      <x:c r="F60" s="19" t="str">
        <x:v>Data model; data dictionary; SQL/Python validation</x:v>
      </x:c>
      <x:c r="G60" s="19" t="str">
        <x:v>SQL/Python validation</x:v>
      </x:c>
      <x:c r="H60" s="20" t="str">
        <x:v>Not Started</x:v>
      </x:c>
      <x:c r="I60" s="20" t="str">
        <x:v>Not Tested</x:v>
      </x:c>
      <x:c r="J60" s="21" t="str"/>
      <x:c r="K60" s="21" t="str">
        <x:v>Brandon McDermott</x:v>
      </x:c>
      <x:c r="L60" s="21" t="str"/>
    </x:row>
    <x:row r="61" ht="54" customHeight="1">
      <x:c r="A61" s="18" t="str">
        <x:v>DR-011</x:v>
      </x:c>
      <x:c r="B61" s="18" t="str">
        <x:v>Data</x:v>
      </x:c>
      <x:c r="C61" s="18" t="str">
        <x:v>Should</x:v>
      </x:c>
      <x:c r="D61" s="19" t="str">
        <x:v>Analytical fields shall be reproducible from documented source fields and logic.</x:v>
      </x:c>
      <x:c r="E61" s="19" t="str">
        <x:v>Each derived KPI field has a definition or transformation rule.</x:v>
      </x:c>
      <x:c r="F61" s="19" t="str">
        <x:v>Data model; data dictionary; SQL/Python validation</x:v>
      </x:c>
      <x:c r="G61" s="19" t="str">
        <x:v>SQL/Python validation</x:v>
      </x:c>
      <x:c r="H61" s="20" t="str">
        <x:v>Not Started</x:v>
      </x:c>
      <x:c r="I61" s="20" t="str">
        <x:v>Not Tested</x:v>
      </x:c>
      <x:c r="J61" s="21" t="str"/>
      <x:c r="K61" s="21" t="str">
        <x:v>Brandon McDermott</x:v>
      </x:c>
      <x:c r="L61" s="21" t="str"/>
    </x:row>
    <x:row r="62" ht="54" customHeight="1">
      <x:c r="A62" s="18" t="str">
        <x:v>DR-012</x:v>
      </x:c>
      <x:c r="B62" s="18" t="str">
        <x:v>Data</x:v>
      </x:c>
      <x:c r="C62" s="18" t="str">
        <x:v>Should</x:v>
      </x:c>
      <x:c r="D62" s="19" t="str">
        <x:v>Date logic shall reject impossible sequences.</x:v>
      </x:c>
      <x:c r="E62" s="19" t="str">
        <x:v>Tests identify cases such as report receipt before encounter completion or closure before referral receipt.</x:v>
      </x:c>
      <x:c r="F62" s="19" t="str">
        <x:v>Data model; data dictionary; SQL/Python validation</x:v>
      </x:c>
      <x:c r="G62" s="19" t="str">
        <x:v>SQL/Python validation</x:v>
      </x:c>
      <x:c r="H62" s="20" t="str">
        <x:v>Not Started</x:v>
      </x:c>
      <x:c r="I62" s="20" t="str">
        <x:v>Not Tested</x:v>
      </x:c>
      <x:c r="J62" s="21" t="str"/>
      <x:c r="K62" s="21" t="str">
        <x:v>Brandon McDermott</x:v>
      </x:c>
      <x:c r="L62" s="21" t="str"/>
    </x:row>
    <x:row r="63" ht="54" customHeight="1">
      <x:c r="A63" s="18" t="str">
        <x:v>IR-001</x:v>
      </x:c>
      <x:c r="B63" s="18" t="str">
        <x:v>Integration</x:v>
      </x:c>
      <x:c r="C63" s="18" t="str">
        <x:v>Must</x:v>
      </x:c>
      <x:c r="D63" s="19" t="str">
        <x:v>The project shall document source-to-target mappings for referral data.</x:v>
      </x:c>
      <x:c r="E63" s="19" t="str">
        <x:v>Every required target field maps to a source field, default, transformation, or documented gap.</x:v>
      </x:c>
      <x:c r="F63" s="19" t="str">
        <x:v>Source-to-target mapping; FHIR JSON; Postman tests</x:v>
      </x:c>
      <x:c r="G63" s="19" t="str">
        <x:v>API test + document review</x:v>
      </x:c>
      <x:c r="H63" s="20" t="str">
        <x:v>Not Started</x:v>
      </x:c>
      <x:c r="I63" s="20" t="str">
        <x:v>Not Tested</x:v>
      </x:c>
      <x:c r="J63" s="21" t="str"/>
      <x:c r="K63" s="21" t="str">
        <x:v>Brandon McDermott</x:v>
      </x:c>
      <x:c r="L63" s="21" t="str"/>
    </x:row>
    <x:row r="64" ht="54" customHeight="1">
      <x:c r="A64" s="18" t="str">
        <x:v>IR-002</x:v>
      </x:c>
      <x:c r="B64" s="18" t="str">
        <x:v>Integration</x:v>
      </x:c>
      <x:c r="C64" s="18" t="str">
        <x:v>Must</x:v>
      </x:c>
      <x:c r="D64" s="19" t="str">
        <x:v>Representative referral information shall map to selected FHIR R4 resources.</x:v>
      </x:c>
      <x:c r="E64" s="19" t="str">
        <x:v>The mapping covers `Patient`, `Practitioner`, `Organization`, `ServiceRequest`, `Task`, `Appointment`, and a report resource.</x:v>
      </x:c>
      <x:c r="F64" s="19" t="str">
        <x:v>Source-to-target mapping; FHIR JSON; Postman tests</x:v>
      </x:c>
      <x:c r="G64" s="19" t="str">
        <x:v>API test + document review</x:v>
      </x:c>
      <x:c r="H64" s="20" t="str">
        <x:v>Not Started</x:v>
      </x:c>
      <x:c r="I64" s="20" t="str">
        <x:v>Not Tested</x:v>
      </x:c>
      <x:c r="J64" s="21" t="str"/>
      <x:c r="K64" s="21" t="str">
        <x:v>Brandon McDermott</x:v>
      </x:c>
      <x:c r="L64" s="21" t="str"/>
    </x:row>
    <x:row r="65" ht="54" customHeight="1">
      <x:c r="A65" s="18" t="str">
        <x:v>IR-003</x:v>
      </x:c>
      <x:c r="B65" s="18" t="str">
        <x:v>Integration</x:v>
      </x:c>
      <x:c r="C65" s="18" t="str">
        <x:v>Must</x:v>
      </x:c>
      <x:c r="D65" s="19" t="str">
        <x:v>FHIR JSON examples shall use syntactically valid JSON and documented identifiers or references.</x:v>
      </x:c>
      <x:c r="E65" s="19" t="str">
        <x:v>JSON parsing succeeds and internal references resolve within each test bundle or documented server context.</x:v>
      </x:c>
      <x:c r="F65" s="19" t="str">
        <x:v>Source-to-target mapping; FHIR JSON; Postman tests</x:v>
      </x:c>
      <x:c r="G65" s="19" t="str">
        <x:v>API test + document review</x:v>
      </x:c>
      <x:c r="H65" s="20" t="str">
        <x:v>Not Started</x:v>
      </x:c>
      <x:c r="I65" s="20" t="str">
        <x:v>Not Tested</x:v>
      </x:c>
      <x:c r="J65" s="21" t="str"/>
      <x:c r="K65" s="21" t="str">
        <x:v>Brandon McDermott</x:v>
      </x:c>
      <x:c r="L65" s="21" t="str"/>
    </x:row>
    <x:row r="66" ht="54" customHeight="1">
      <x:c r="A66" s="18" t="str">
        <x:v>IR-004</x:v>
      </x:c>
      <x:c r="B66" s="18" t="str">
        <x:v>Integration</x:v>
      </x:c>
      <x:c r="C66" s="18" t="str">
        <x:v>Must</x:v>
      </x:c>
      <x:c r="D66" s="19" t="str">
        <x:v>Postman tests shall demonstrate representative create or update and retrieval behavior.</x:v>
      </x:c>
      <x:c r="E66" s="19" t="str">
        <x:v>The collection records expected successful responses for the defined positive tests.</x:v>
      </x:c>
      <x:c r="F66" s="19" t="str">
        <x:v>Source-to-target mapping; FHIR JSON; Postman tests</x:v>
      </x:c>
      <x:c r="G66" s="19" t="str">
        <x:v>API test + document review</x:v>
      </x:c>
      <x:c r="H66" s="20" t="str">
        <x:v>Not Started</x:v>
      </x:c>
      <x:c r="I66" s="20" t="str">
        <x:v>Not Tested</x:v>
      </x:c>
      <x:c r="J66" s="21" t="str"/>
      <x:c r="K66" s="21" t="str">
        <x:v>Brandon McDermott</x:v>
      </x:c>
      <x:c r="L66" s="21" t="str"/>
    </x:row>
    <x:row r="67" ht="54" customHeight="1">
      <x:c r="A67" s="18" t="str">
        <x:v>IR-005</x:v>
      </x:c>
      <x:c r="B67" s="18" t="str">
        <x:v>Integration</x:v>
      </x:c>
      <x:c r="C67" s="18" t="str">
        <x:v>Must</x:v>
      </x:c>
      <x:c r="D67" s="19" t="str">
        <x:v>API testing shall include negative cases.</x:v>
      </x:c>
      <x:c r="E67" s="19" t="str">
        <x:v>Missing required data, invalid references, or invalid values produce documented failure behavior.</x:v>
      </x:c>
      <x:c r="F67" s="19" t="str">
        <x:v>Source-to-target mapping; FHIR JSON; Postman tests</x:v>
      </x:c>
      <x:c r="G67" s="19" t="str">
        <x:v>API test + document review</x:v>
      </x:c>
      <x:c r="H67" s="20" t="str">
        <x:v>Not Started</x:v>
      </x:c>
      <x:c r="I67" s="20" t="str">
        <x:v>Not Tested</x:v>
      </x:c>
      <x:c r="J67" s="21" t="str"/>
      <x:c r="K67" s="21" t="str">
        <x:v>Brandon McDermott</x:v>
      </x:c>
      <x:c r="L67" s="21" t="str"/>
    </x:row>
    <x:row r="68" ht="54" customHeight="1">
      <x:c r="A68" s="18" t="str">
        <x:v>IR-006</x:v>
      </x:c>
      <x:c r="B68" s="18" t="str">
        <x:v>Integration</x:v>
      </x:c>
      <x:c r="C68" s="18" t="str">
        <x:v>Must</x:v>
      </x:c>
      <x:c r="D68" s="19" t="str">
        <x:v>Integration failures shall be traceable to a source transaction or referral.</x:v>
      </x:c>
      <x:c r="E68" s="19" t="str">
        <x:v>Error records include source identifier, timestamp, error category, and status.</x:v>
      </x:c>
      <x:c r="F68" s="19" t="str">
        <x:v>Source-to-target mapping; FHIR JSON; Postman tests</x:v>
      </x:c>
      <x:c r="G68" s="19" t="str">
        <x:v>API test + document review</x:v>
      </x:c>
      <x:c r="H68" s="20" t="str">
        <x:v>Not Started</x:v>
      </x:c>
      <x:c r="I68" s="20" t="str">
        <x:v>Not Tested</x:v>
      </x:c>
      <x:c r="J68" s="21" t="str"/>
      <x:c r="K68" s="21" t="str">
        <x:v>Brandon McDermott</x:v>
      </x:c>
      <x:c r="L68" s="21" t="str"/>
    </x:row>
    <x:row r="69" ht="54" customHeight="1">
      <x:c r="A69" s="18" t="str">
        <x:v>IR-007</x:v>
      </x:c>
      <x:c r="B69" s="18" t="str">
        <x:v>Integration</x:v>
      </x:c>
      <x:c r="C69" s="18" t="str">
        <x:v>Should</x:v>
      </x:c>
      <x:c r="D69" s="19" t="str">
        <x:v>Retryable and non-retryable integration failures shall be distinguishable.</x:v>
      </x:c>
      <x:c r="E69" s="19" t="str">
        <x:v>Error-handling documentation assigns representative failures to the correct category.</x:v>
      </x:c>
      <x:c r="F69" s="19" t="str">
        <x:v>Source-to-target mapping; FHIR JSON; Postman tests</x:v>
      </x:c>
      <x:c r="G69" s="19" t="str">
        <x:v>API test + document review</x:v>
      </x:c>
      <x:c r="H69" s="20" t="str">
        <x:v>Not Started</x:v>
      </x:c>
      <x:c r="I69" s="20" t="str">
        <x:v>Not Tested</x:v>
      </x:c>
      <x:c r="J69" s="21" t="str"/>
      <x:c r="K69" s="21" t="str">
        <x:v>Brandon McDermott</x:v>
      </x:c>
      <x:c r="L69" s="21" t="str"/>
    </x:row>
    <x:row r="70" ht="54" customHeight="1">
      <x:c r="A70" s="18" t="str">
        <x:v>IR-008</x:v>
      </x:c>
      <x:c r="B70" s="18" t="str">
        <x:v>Integration</x:v>
      </x:c>
      <x:c r="C70" s="18" t="str">
        <x:v>Must</x:v>
      </x:c>
      <x:c r="D70" s="19" t="str">
        <x:v>The documentation shall state that the FHIR demonstration is not a production interface or certification.</x:v>
      </x:c>
      <x:c r="E70" s="19" t="str">
        <x:v>The limitation appears in the FHIR documentation and README.</x:v>
      </x:c>
      <x:c r="F70" s="19" t="str">
        <x:v>Source-to-target mapping; FHIR JSON; Postman tests</x:v>
      </x:c>
      <x:c r="G70" s="19" t="str">
        <x:v>API test + document review</x:v>
      </x:c>
      <x:c r="H70" s="20" t="str">
        <x:v>Not Started</x:v>
      </x:c>
      <x:c r="I70" s="20" t="str">
        <x:v>Not Tested</x:v>
      </x:c>
      <x:c r="J70" s="21" t="str"/>
      <x:c r="K70" s="21" t="str">
        <x:v>Brandon McDermott</x:v>
      </x:c>
      <x:c r="L70" s="21" t="str"/>
    </x:row>
    <x:row r="71" ht="54" customHeight="1">
      <x:c r="A71" s="18" t="str">
        <x:v>RR-001</x:v>
      </x:c>
      <x:c r="B71" s="18" t="str">
        <x:v>Reporting &amp; Analytics</x:v>
      </x:c>
      <x:c r="C71" s="18" t="str">
        <x:v>Must</x:v>
      </x:c>
      <x:c r="D71" s="19" t="str">
        <x:v>Every KPI shall have a documented definition, numerator, denominator, exclusions, date field, and null-handling rule.</x:v>
      </x:c>
      <x:c r="E71" s="19" t="str">
        <x:v>The metric specification contains all required components before dashboard publication.</x:v>
      </x:c>
      <x:c r="F71" s="19" t="str">
        <x:v>Metric specification; SQL views; Tableau validation</x:v>
      </x:c>
      <x:c r="G71" s="19" t="str">
        <x:v>SQL reconciliation + dashboard QA</x:v>
      </x:c>
      <x:c r="H71" s="20" t="str">
        <x:v>Not Started</x:v>
      </x:c>
      <x:c r="I71" s="20" t="str">
        <x:v>Not Tested</x:v>
      </x:c>
      <x:c r="J71" s="21" t="str"/>
      <x:c r="K71" s="21" t="str">
        <x:v>Brandon McDermott</x:v>
      </x:c>
      <x:c r="L71" s="21" t="str"/>
    </x:row>
    <x:row r="72" ht="54" customHeight="1">
      <x:c r="A72" s="18" t="str">
        <x:v>RR-002</x:v>
      </x:c>
      <x:c r="B72" s="18" t="str">
        <x:v>Reporting &amp; Analytics</x:v>
      </x:c>
      <x:c r="C72" s="18" t="str">
        <x:v>Must</x:v>
      </x:c>
      <x:c r="D72" s="19" t="str">
        <x:v>The dashboard shall display referral volume, intake completeness, scheduling conversion, appointment completion, closed-loop rate, cycle times, no-show rate, and overdue open referrals.</x:v>
      </x:c>
      <x:c r="E72" s="19" t="str">
        <x:v>Each KPI is present and reconciles to its approved SQL result.</x:v>
      </x:c>
      <x:c r="F72" s="19" t="str">
        <x:v>Metric specification; SQL views; Tableau validation</x:v>
      </x:c>
      <x:c r="G72" s="19" t="str">
        <x:v>SQL reconciliation + dashboard QA</x:v>
      </x:c>
      <x:c r="H72" s="20" t="str">
        <x:v>Not Started</x:v>
      </x:c>
      <x:c r="I72" s="20" t="str">
        <x:v>Not Tested</x:v>
      </x:c>
      <x:c r="J72" s="21" t="str"/>
      <x:c r="K72" s="21" t="str">
        <x:v>Brandon McDermott</x:v>
      </x:c>
      <x:c r="L72" s="21" t="str"/>
    </x:row>
    <x:row r="73" ht="54" customHeight="1">
      <x:c r="A73" s="18" t="str">
        <x:v>RR-003</x:v>
      </x:c>
      <x:c r="B73" s="18" t="str">
        <x:v>Reporting &amp; Analytics</x:v>
      </x:c>
      <x:c r="C73" s="18" t="str">
        <x:v>Must</x:v>
      </x:c>
      <x:c r="D73" s="19" t="str">
        <x:v>The dashboard shall show the referral funnel by meaningful workflow stage.</x:v>
      </x:c>
      <x:c r="E73" s="19" t="str">
        <x:v>Funnel counts follow governed stage definitions and do not double-count referrals.</x:v>
      </x:c>
      <x:c r="F73" s="19" t="str">
        <x:v>Metric specification; SQL views; Tableau validation</x:v>
      </x:c>
      <x:c r="G73" s="19" t="str">
        <x:v>SQL reconciliation + dashboard QA</x:v>
      </x:c>
      <x:c r="H73" s="20" t="str">
        <x:v>Not Started</x:v>
      </x:c>
      <x:c r="I73" s="20" t="str">
        <x:v>Not Tested</x:v>
      </x:c>
      <x:c r="J73" s="21" t="str"/>
      <x:c r="K73" s="21" t="str">
        <x:v>Brandon McDermott</x:v>
      </x:c>
      <x:c r="L73" s="21" t="str"/>
    </x:row>
    <x:row r="74" ht="54" customHeight="1">
      <x:c r="A74" s="18" t="str">
        <x:v>RR-004</x:v>
      </x:c>
      <x:c r="B74" s="18" t="str">
        <x:v>Reporting &amp; Analytics</x:v>
      </x:c>
      <x:c r="C74" s="18" t="str">
        <x:v>Must</x:v>
      </x:c>
      <x:c r="D74" s="19" t="str">
        <x:v>Users shall be able to analyze performance by site, specialty, payer, provider, priority, status, and referral month where data permit.</x:v>
      </x:c>
      <x:c r="E74" s="19" t="str">
        <x:v>Filters return expected representative subsets.</x:v>
      </x:c>
      <x:c r="F74" s="19" t="str">
        <x:v>Metric specification; SQL views; Tableau validation</x:v>
      </x:c>
      <x:c r="G74" s="19" t="str">
        <x:v>SQL reconciliation + dashboard QA</x:v>
      </x:c>
      <x:c r="H74" s="20" t="str">
        <x:v>Not Started</x:v>
      </x:c>
      <x:c r="I74" s="20" t="str">
        <x:v>Not Tested</x:v>
      </x:c>
      <x:c r="J74" s="21" t="str"/>
      <x:c r="K74" s="21" t="str">
        <x:v>Brandon McDermott</x:v>
      </x:c>
      <x:c r="L74" s="21" t="str"/>
    </x:row>
    <x:row r="75" ht="54" customHeight="1">
      <x:c r="A75" s="18" t="str">
        <x:v>RR-005</x:v>
      </x:c>
      <x:c r="B75" s="18" t="str">
        <x:v>Reporting &amp; Analytics</x:v>
      </x:c>
      <x:c r="C75" s="18" t="str">
        <x:v>Must</x:v>
      </x:c>
      <x:c r="D75" s="19" t="str">
        <x:v>The dashboard shall contain an actionable overdue-referral work queue.</x:v>
      </x:c>
      <x:c r="E75" s="19" t="str">
        <x:v>The queue includes referral identifier, stage, owner, urgency, age, due date, and reason for inclusion.</x:v>
      </x:c>
      <x:c r="F75" s="19" t="str">
        <x:v>Metric specification; SQL views; Tableau validation</x:v>
      </x:c>
      <x:c r="G75" s="19" t="str">
        <x:v>SQL reconciliation + dashboard QA</x:v>
      </x:c>
      <x:c r="H75" s="20" t="str">
        <x:v>Not Started</x:v>
      </x:c>
      <x:c r="I75" s="20" t="str">
        <x:v>Not Tested</x:v>
      </x:c>
      <x:c r="J75" s="21" t="str"/>
      <x:c r="K75" s="21" t="str">
        <x:v>Brandon McDermott</x:v>
      </x:c>
      <x:c r="L75" s="21" t="str"/>
    </x:row>
    <x:row r="76" ht="54" customHeight="1">
      <x:c r="A76" s="18" t="str">
        <x:v>RR-006</x:v>
      </x:c>
      <x:c r="B76" s="18" t="str">
        <x:v>Reporting &amp; Analytics</x:v>
      </x:c>
      <x:c r="C76" s="18" t="str">
        <x:v>Must</x:v>
      </x:c>
      <x:c r="D76" s="19" t="str">
        <x:v>Dashboard calculations shall use reusable SQL views or documented transformations.</x:v>
      </x:c>
      <x:c r="E76" s="19" t="str">
        <x:v>Published metrics can be reproduced outside Tableau.</x:v>
      </x:c>
      <x:c r="F76" s="19" t="str">
        <x:v>Metric specification; SQL views; Tableau validation</x:v>
      </x:c>
      <x:c r="G76" s="19" t="str">
        <x:v>SQL reconciliation + dashboard QA</x:v>
      </x:c>
      <x:c r="H76" s="20" t="str">
        <x:v>Not Started</x:v>
      </x:c>
      <x:c r="I76" s="20" t="str">
        <x:v>Not Tested</x:v>
      </x:c>
      <x:c r="J76" s="21" t="str"/>
      <x:c r="K76" s="21" t="str">
        <x:v>Brandon McDermott</x:v>
      </x:c>
      <x:c r="L76" s="21" t="str"/>
    </x:row>
    <x:row r="77" ht="54" customHeight="1">
      <x:c r="A77" s="18" t="str">
        <x:v>RR-007</x:v>
      </x:c>
      <x:c r="B77" s="18" t="str">
        <x:v>Reporting &amp; Analytics</x:v>
      </x:c>
      <x:c r="C77" s="18" t="str">
        <x:v>Must</x:v>
      </x:c>
      <x:c r="D77" s="19" t="str">
        <x:v>KPI validation shall compare Tableau outputs with independent SQL results.</x:v>
      </x:c>
      <x:c r="E77" s="19" t="str">
        <x:v>Differences are zero or documented and resolved before publication.</x:v>
      </x:c>
      <x:c r="F77" s="19" t="str">
        <x:v>Metric specification; SQL views; Tableau validation</x:v>
      </x:c>
      <x:c r="G77" s="19" t="str">
        <x:v>SQL reconciliation + dashboard QA</x:v>
      </x:c>
      <x:c r="H77" s="20" t="str">
        <x:v>Not Started</x:v>
      </x:c>
      <x:c r="I77" s="20" t="str">
        <x:v>Not Tested</x:v>
      </x:c>
      <x:c r="J77" s="21" t="str"/>
      <x:c r="K77" s="21" t="str">
        <x:v>Brandon McDermott</x:v>
      </x:c>
      <x:c r="L77" s="21" t="str"/>
    </x:row>
    <x:row r="78" ht="54" customHeight="1">
      <x:c r="A78" s="18" t="str">
        <x:v>RR-008</x:v>
      </x:c>
      <x:c r="B78" s="18" t="str">
        <x:v>Reporting &amp; Analytics</x:v>
      </x:c>
      <x:c r="C78" s="18" t="str">
        <x:v>Should</x:v>
      </x:c>
      <x:c r="D78" s="19" t="str">
        <x:v>The dashboard shall distinguish simulated baseline and post-redesign scenarios without implying real-world causality.</x:v>
      </x:c>
      <x:c r="E78" s="19" t="str">
        <x:v>Scenario labels and methodology notes appear in the dashboard or README.</x:v>
      </x:c>
      <x:c r="F78" s="19" t="str">
        <x:v>Metric specification; SQL views; Tableau validation</x:v>
      </x:c>
      <x:c r="G78" s="19" t="str">
        <x:v>SQL reconciliation + dashboard QA</x:v>
      </x:c>
      <x:c r="H78" s="20" t="str">
        <x:v>Not Started</x:v>
      </x:c>
      <x:c r="I78" s="20" t="str">
        <x:v>Not Tested</x:v>
      </x:c>
      <x:c r="J78" s="21" t="str"/>
      <x:c r="K78" s="21" t="str">
        <x:v>Brandon McDermott</x:v>
      </x:c>
      <x:c r="L78" s="21" t="str"/>
    </x:row>
    <x:row r="79" ht="54" customHeight="1">
      <x:c r="A79" s="18" t="str">
        <x:v>RR-009</x:v>
      </x:c>
      <x:c r="B79" s="18" t="str">
        <x:v>Reporting &amp; Analytics</x:v>
      </x:c>
      <x:c r="C79" s="18" t="str">
        <x:v>Should</x:v>
      </x:c>
      <x:c r="D79" s="19" t="str">
        <x:v>Small-cell or privacy-sensitive reporting considerations shall be documented even though data are synthetic.</x:v>
      </x:c>
      <x:c r="E79" s="19" t="str">
        <x:v>Reporting documentation states how suppression or access controls would be handled in production.</x:v>
      </x:c>
      <x:c r="F79" s="19" t="str">
        <x:v>Metric specification; SQL views; Tableau validation</x:v>
      </x:c>
      <x:c r="G79" s="19" t="str">
        <x:v>SQL reconciliation + dashboard QA</x:v>
      </x:c>
      <x:c r="H79" s="20" t="str">
        <x:v>Not Started</x:v>
      </x:c>
      <x:c r="I79" s="20" t="str">
        <x:v>Not Tested</x:v>
      </x:c>
      <x:c r="J79" s="21" t="str"/>
      <x:c r="K79" s="21" t="str">
        <x:v>Brandon McDermott</x:v>
      </x:c>
      <x:c r="L79" s="21" t="str"/>
    </x:row>
    <x:row r="80" ht="54" customHeight="1">
      <x:c r="A80" s="18" t="str">
        <x:v>SR-001</x:v>
      </x:c>
      <x:c r="B80" s="18" t="str">
        <x:v>Security, Privacy &amp; Audit</x:v>
      </x:c>
      <x:c r="C80" s="18" t="str">
        <x:v>Must</x:v>
      </x:c>
      <x:c r="D80" s="19" t="str">
        <x:v>The proposed design shall use role-based access concepts.</x:v>
      </x:c>
      <x:c r="E80" s="19" t="str">
        <x:v>A role-permission matrix defines representative access for each user type.</x:v>
      </x:c>
      <x:c r="F80" s="19" t="str">
        <x:v>Role-permission matrix; audit design; repository QA</x:v>
      </x:c>
      <x:c r="G80" s="19" t="str">
        <x:v>Control review + negative test</x:v>
      </x:c>
      <x:c r="H80" s="20" t="str">
        <x:v>Not Started</x:v>
      </x:c>
      <x:c r="I80" s="20" t="str">
        <x:v>Not Tested</x:v>
      </x:c>
      <x:c r="J80" s="21" t="str"/>
      <x:c r="K80" s="21" t="str">
        <x:v>Brandon McDermott</x:v>
      </x:c>
      <x:c r="L80" s="21" t="str"/>
    </x:row>
    <x:row r="81" ht="54" customHeight="1">
      <x:c r="A81" s="18" t="str">
        <x:v>SR-002</x:v>
      </x:c>
      <x:c r="B81" s="18" t="str">
        <x:v>Security, Privacy &amp; Audit</x:v>
      </x:c>
      <x:c r="C81" s="18" t="str">
        <x:v>Must</x:v>
      </x:c>
      <x:c r="D81" s="19" t="str">
        <x:v>Access shall follow a minimum-necessary principle.</x:v>
      </x:c>
      <x:c r="E81" s="19" t="str">
        <x:v>Each role has only the permissions needed for its stated duties.</x:v>
      </x:c>
      <x:c r="F81" s="19" t="str">
        <x:v>Role-permission matrix; audit design; repository QA</x:v>
      </x:c>
      <x:c r="G81" s="19" t="str">
        <x:v>Control review + negative test</x:v>
      </x:c>
      <x:c r="H81" s="20" t="str">
        <x:v>Not Started</x:v>
      </x:c>
      <x:c r="I81" s="20" t="str">
        <x:v>Not Tested</x:v>
      </x:c>
      <x:c r="J81" s="21" t="str"/>
      <x:c r="K81" s="21" t="str">
        <x:v>Brandon McDermott</x:v>
      </x:c>
      <x:c r="L81" s="21" t="str"/>
    </x:row>
    <x:row r="82" ht="54" customHeight="1">
      <x:c r="A82" s="18" t="str">
        <x:v>SR-003</x:v>
      </x:c>
      <x:c r="B82" s="18" t="str">
        <x:v>Security, Privacy &amp; Audit</x:v>
      </x:c>
      <x:c r="C82" s="18" t="str">
        <x:v>Must</x:v>
      </x:c>
      <x:c r="D82" s="19" t="str">
        <x:v>Material workflow changes shall be attributable to a user or system source.</x:v>
      </x:c>
      <x:c r="E82" s="19" t="str">
        <x:v>Audit fields exist for status, assignment, override, and closure actions.</x:v>
      </x:c>
      <x:c r="F82" s="19" t="str">
        <x:v>Role-permission matrix; audit design; repository QA</x:v>
      </x:c>
      <x:c r="G82" s="19" t="str">
        <x:v>Control review + negative test</x:v>
      </x:c>
      <x:c r="H82" s="20" t="str">
        <x:v>Not Started</x:v>
      </x:c>
      <x:c r="I82" s="20" t="str">
        <x:v>Not Tested</x:v>
      </x:c>
      <x:c r="J82" s="21" t="str"/>
      <x:c r="K82" s="21" t="str">
        <x:v>Brandon McDermott</x:v>
      </x:c>
      <x:c r="L82" s="21" t="str"/>
    </x:row>
    <x:row r="83" ht="54" customHeight="1">
      <x:c r="A83" s="18" t="str">
        <x:v>SR-004</x:v>
      </x:c>
      <x:c r="B83" s="18" t="str">
        <x:v>Security, Privacy &amp; Audit</x:v>
      </x:c>
      <x:c r="C83" s="18" t="str">
        <x:v>Must</x:v>
      </x:c>
      <x:c r="D83" s="19" t="str">
        <x:v>Overrides and terminal-status changes shall require a documented reason where defined.</x:v>
      </x:c>
      <x:c r="E83" s="19" t="str">
        <x:v>Test records missing required reasons fail validation.</x:v>
      </x:c>
      <x:c r="F83" s="19" t="str">
        <x:v>Role-permission matrix; audit design; repository QA</x:v>
      </x:c>
      <x:c r="G83" s="19" t="str">
        <x:v>Control review + negative test</x:v>
      </x:c>
      <x:c r="H83" s="20" t="str">
        <x:v>Not Started</x:v>
      </x:c>
      <x:c r="I83" s="20" t="str">
        <x:v>Not Tested</x:v>
      </x:c>
      <x:c r="J83" s="21" t="str"/>
      <x:c r="K83" s="21" t="str">
        <x:v>Brandon McDermott</x:v>
      </x:c>
      <x:c r="L83" s="21" t="str"/>
    </x:row>
    <x:row r="84" ht="54" customHeight="1">
      <x:c r="A84" s="18" t="str">
        <x:v>SR-005</x:v>
      </x:c>
      <x:c r="B84" s="18" t="str">
        <x:v>Security, Privacy &amp; Audit</x:v>
      </x:c>
      <x:c r="C84" s="18" t="str">
        <x:v>Must</x:v>
      </x:c>
      <x:c r="D84" s="19" t="str">
        <x:v>The public repository shall contain only synthetic, nonconfidential data and nonsecret configuration.</x:v>
      </x:c>
      <x:c r="E84" s="19" t="str">
        <x:v>Repository review finds no PHI, passwords, access tokens, private keys, or live credentials.</x:v>
      </x:c>
      <x:c r="F84" s="19" t="str">
        <x:v>Role-permission matrix; audit design; repository QA</x:v>
      </x:c>
      <x:c r="G84" s="19" t="str">
        <x:v>Control review + negative test</x:v>
      </x:c>
      <x:c r="H84" s="20" t="str">
        <x:v>Not Started</x:v>
      </x:c>
      <x:c r="I84" s="20" t="str">
        <x:v>Not Tested</x:v>
      </x:c>
      <x:c r="J84" s="21" t="str"/>
      <x:c r="K84" s="21" t="str">
        <x:v>Brandon McDermott</x:v>
      </x:c>
      <x:c r="L84" s="21" t="str"/>
    </x:row>
    <x:row r="85" ht="54" customHeight="1">
      <x:c r="A85" s="18" t="str">
        <x:v>SR-006</x:v>
      </x:c>
      <x:c r="B85" s="18" t="str">
        <x:v>Security, Privacy &amp; Audit</x:v>
      </x:c>
      <x:c r="C85" s="18" t="str">
        <x:v>Should</x:v>
      </x:c>
      <x:c r="D85" s="19" t="str">
        <x:v>Production security considerations shall include authentication, authorization, encryption, logging, retention, and incident response.</x:v>
      </x:c>
      <x:c r="E85" s="19" t="str">
        <x:v>The architecture or security notes address all six areas as future production requirements.</x:v>
      </x:c>
      <x:c r="F85" s="19" t="str">
        <x:v>Role-permission matrix; audit design; repository QA</x:v>
      </x:c>
      <x:c r="G85" s="19" t="str">
        <x:v>Control review + negative test</x:v>
      </x:c>
      <x:c r="H85" s="20" t="str">
        <x:v>Not Started</x:v>
      </x:c>
      <x:c r="I85" s="20" t="str">
        <x:v>Not Tested</x:v>
      </x:c>
      <x:c r="J85" s="21" t="str"/>
      <x:c r="K85" s="21" t="str">
        <x:v>Brandon McDermott</x:v>
      </x:c>
      <x:c r="L85" s="21" t="str"/>
    </x:row>
    <x:row r="86" ht="54" customHeight="1">
      <x:c r="A86" s="18" t="str">
        <x:v>SR-007</x:v>
      </x:c>
      <x:c r="B86" s="18" t="str">
        <x:v>Security, Privacy &amp; Audit</x:v>
      </x:c>
      <x:c r="C86" s="18" t="str">
        <x:v>Should</x:v>
      </x:c>
      <x:c r="D86" s="19" t="str">
        <x:v>Analytical access shall be separated conceptually from operational write access.</x:v>
      </x:c>
      <x:c r="E86" s="19" t="str">
        <x:v>The role model gives analysts approved read access without routine workflow-update privileges.</x:v>
      </x:c>
      <x:c r="F86" s="19" t="str">
        <x:v>Role-permission matrix; audit design; repository QA</x:v>
      </x:c>
      <x:c r="G86" s="19" t="str">
        <x:v>Control review + negative test</x:v>
      </x:c>
      <x:c r="H86" s="20" t="str">
        <x:v>Not Started</x:v>
      </x:c>
      <x:c r="I86" s="20" t="str">
        <x:v>Not Tested</x:v>
      </x:c>
      <x:c r="J86" s="21" t="str"/>
      <x:c r="K86" s="21" t="str">
        <x:v>Brandon McDermott</x:v>
      </x:c>
      <x:c r="L86" s="21" t="str"/>
    </x:row>
    <x:row r="87" ht="54" customHeight="1">
      <x:c r="A87" s="18" t="str">
        <x:v>NFR-001</x:v>
      </x:c>
      <x:c r="B87" s="18" t="str">
        <x:v>Nonfunctional</x:v>
      </x:c>
      <x:c r="C87" s="18" t="str">
        <x:v>Must</x:v>
      </x:c>
      <x:c r="D87" s="19" t="str">
        <x:v>The MVP shall run using Mac-compatible and accessible tools.</x:v>
      </x:c>
      <x:c r="E87" s="19" t="str">
        <x:v>Core deliverables run in MySQL Workbench, Python, Postman, Tableau Public, VS Code, and GitHub.</x:v>
      </x:c>
      <x:c r="F87" s="19" t="str">
        <x:v>README; reproducibility test; technical QA</x:v>
      </x:c>
      <x:c r="G87" s="19" t="str">
        <x:v>Technical review</x:v>
      </x:c>
      <x:c r="H87" s="20" t="str">
        <x:v>Not Started</x:v>
      </x:c>
      <x:c r="I87" s="20" t="str">
        <x:v>Not Tested</x:v>
      </x:c>
      <x:c r="J87" s="21" t="str"/>
      <x:c r="K87" s="21" t="str">
        <x:v>Brandon McDermott</x:v>
      </x:c>
      <x:c r="L87" s="21" t="str"/>
    </x:row>
    <x:row r="88" ht="54" customHeight="1">
      <x:c r="A88" s="18" t="str">
        <x:v>NFR-002</x:v>
      </x:c>
      <x:c r="B88" s="18" t="str">
        <x:v>Nonfunctional</x:v>
      </x:c>
      <x:c r="C88" s="18" t="str">
        <x:v>Must</x:v>
      </x:c>
      <x:c r="D88" s="19" t="str">
        <x:v>SQL, Python, JSON, and documentation shall be reproducible from repository instructions.</x:v>
      </x:c>
      <x:c r="E88" s="19" t="str">
        <x:v>A reviewer can follow the README to reproduce the core data and analytical workflow.</x:v>
      </x:c>
      <x:c r="F88" s="19" t="str">
        <x:v>README; reproducibility test; technical QA</x:v>
      </x:c>
      <x:c r="G88" s="19" t="str">
        <x:v>Technical review</x:v>
      </x:c>
      <x:c r="H88" s="20" t="str">
        <x:v>Not Started</x:v>
      </x:c>
      <x:c r="I88" s="20" t="str">
        <x:v>Not Tested</x:v>
      </x:c>
      <x:c r="J88" s="21" t="str"/>
      <x:c r="K88" s="21" t="str">
        <x:v>Brandon McDermott</x:v>
      </x:c>
      <x:c r="L88" s="21" t="str"/>
    </x:row>
    <x:row r="89" ht="54" customHeight="1">
      <x:c r="A89" s="18" t="str">
        <x:v>NFR-003</x:v>
      </x:c>
      <x:c r="B89" s="18" t="str">
        <x:v>Nonfunctional</x:v>
      </x:c>
      <x:c r="C89" s="18" t="str">
        <x:v>Must</x:v>
      </x:c>
      <x:c r="D89" s="19" t="str">
        <x:v>Naming conventions shall be consistent across datasets, database objects, code, and documentation.</x:v>
      </x:c>
      <x:c r="E89" s="19" t="str">
        <x:v>QA finds no unexplained conflicting names for core entities or fields.</x:v>
      </x:c>
      <x:c r="F89" s="19" t="str">
        <x:v>README; reproducibility test; technical QA</x:v>
      </x:c>
      <x:c r="G89" s="19" t="str">
        <x:v>Technical review</x:v>
      </x:c>
      <x:c r="H89" s="20" t="str">
        <x:v>Not Started</x:v>
      </x:c>
      <x:c r="I89" s="20" t="str">
        <x:v>Not Tested</x:v>
      </x:c>
      <x:c r="J89" s="21" t="str"/>
      <x:c r="K89" s="21" t="str">
        <x:v>Brandon McDermott</x:v>
      </x:c>
      <x:c r="L89" s="21" t="str"/>
    </x:row>
    <x:row r="90" ht="54" customHeight="1">
      <x:c r="A90" s="18" t="str">
        <x:v>NFR-004</x:v>
      </x:c>
      <x:c r="B90" s="18" t="str">
        <x:v>Nonfunctional</x:v>
      </x:c>
      <x:c r="C90" s="18" t="str">
        <x:v>Should</x:v>
      </x:c>
      <x:c r="D90" s="19" t="str">
        <x:v>Queries and views shall complete within a reasonable time for approximately 2,500 referrals and their related events.</x:v>
      </x:c>
      <x:c r="E90" s="19" t="str">
        <x:v>Core analytical queries execute without material delay in the portfolio environment.</x:v>
      </x:c>
      <x:c r="F90" s="19" t="str">
        <x:v>README; reproducibility test; technical QA</x:v>
      </x:c>
      <x:c r="G90" s="19" t="str">
        <x:v>Technical review</x:v>
      </x:c>
      <x:c r="H90" s="20" t="str">
        <x:v>Not Started</x:v>
      </x:c>
      <x:c r="I90" s="20" t="str">
        <x:v>Not Tested</x:v>
      </x:c>
      <x:c r="J90" s="21" t="str"/>
      <x:c r="K90" s="21" t="str">
        <x:v>Brandon McDermott</x:v>
      </x:c>
      <x:c r="L90" s="21" t="str"/>
    </x:row>
    <x:row r="91" ht="54" customHeight="1">
      <x:c r="A91" s="18" t="str">
        <x:v>NFR-005</x:v>
      </x:c>
      <x:c r="B91" s="18" t="str">
        <x:v>Nonfunctional</x:v>
      </x:c>
      <x:c r="C91" s="18" t="str">
        <x:v>Must</x:v>
      </x:c>
      <x:c r="D91" s="19" t="str">
        <x:v>Errors shall be understandable and traceable.</x:v>
      </x:c>
      <x:c r="E91" s="19" t="str">
        <x:v>Data and API exception outputs identify the affected record and rule or error category.</x:v>
      </x:c>
      <x:c r="F91" s="19" t="str">
        <x:v>README; reproducibility test; technical QA</x:v>
      </x:c>
      <x:c r="G91" s="19" t="str">
        <x:v>Technical review</x:v>
      </x:c>
      <x:c r="H91" s="20" t="str">
        <x:v>Not Started</x:v>
      </x:c>
      <x:c r="I91" s="20" t="str">
        <x:v>Not Tested</x:v>
      </x:c>
      <x:c r="J91" s="21" t="str"/>
      <x:c r="K91" s="21" t="str">
        <x:v>Brandon McDermott</x:v>
      </x:c>
      <x:c r="L91" s="21" t="str"/>
    </x:row>
    <x:row r="92" ht="54" customHeight="1">
      <x:c r="A92" s="18" t="str">
        <x:v>NFR-006</x:v>
      </x:c>
      <x:c r="B92" s="18" t="str">
        <x:v>Nonfunctional</x:v>
      </x:c>
      <x:c r="C92" s="18" t="str">
        <x:v>Must</x:v>
      </x:c>
      <x:c r="D92" s="19" t="str">
        <x:v>Documentation shall distinguish implemented behavior, simulated behavior, assumptions, and future production needs.</x:v>
      </x:c>
      <x:c r="E92" s="19" t="str">
        <x:v>README and major deliverables use explicit labels consistently.</x:v>
      </x:c>
      <x:c r="F92" s="19" t="str">
        <x:v>README; reproducibility test; technical QA</x:v>
      </x:c>
      <x:c r="G92" s="19" t="str">
        <x:v>Technical review</x:v>
      </x:c>
      <x:c r="H92" s="20" t="str">
        <x:v>Not Started</x:v>
      </x:c>
      <x:c r="I92" s="20" t="str">
        <x:v>Not Tested</x:v>
      </x:c>
      <x:c r="J92" s="21" t="str"/>
      <x:c r="K92" s="21" t="str">
        <x:v>Brandon McDermott</x:v>
      </x:c>
      <x:c r="L92" s="21" t="str"/>
    </x:row>
    <x:row r="93" ht="54" customHeight="1">
      <x:c r="A93" s="18" t="str">
        <x:v>NFR-007</x:v>
      </x:c>
      <x:c r="B93" s="18" t="str">
        <x:v>Nonfunctional</x:v>
      </x:c>
      <x:c r="C93" s="18" t="str">
        <x:v>Should</x:v>
      </x:c>
      <x:c r="D93" s="19" t="str">
        <x:v>Workflow and dashboard outputs shall be understandable to both operational and technical reviewers.</x:v>
      </x:c>
      <x:c r="E93" s="19" t="str">
        <x:v>UAT or structured review confirms that key actions and metric definitions can be identified without source-code inspection.</x:v>
      </x:c>
      <x:c r="F93" s="19" t="str">
        <x:v>README; reproducibility test; technical QA</x:v>
      </x:c>
      <x:c r="G93" s="19" t="str">
        <x:v>Technical review</x:v>
      </x:c>
      <x:c r="H93" s="20" t="str">
        <x:v>Not Started</x:v>
      </x:c>
      <x:c r="I93" s="20" t="str">
        <x:v>Not Tested</x:v>
      </x:c>
      <x:c r="J93" s="21" t="str"/>
      <x:c r="K93" s="21" t="str">
        <x:v>Brandon McDermott</x:v>
      </x:c>
      <x:c r="L93" s="21" t="str"/>
    </x:row>
    <x:row r="94" ht="54" customHeight="1">
      <x:c r="A94" s="18" t="str">
        <x:v>IMR-001</x:v>
      </x:c>
      <x:c r="B94" s="18" t="str">
        <x:v>Implementation &amp; Support</x:v>
      </x:c>
      <x:c r="C94" s="18" t="str">
        <x:v>Must</x:v>
      </x:c>
      <x:c r="D94" s="19" t="str">
        <x:v>Requirements shall be traceable to configuration, code, documentation, or tests.</x:v>
      </x:c>
      <x:c r="E94" s="19" t="str">
        <x:v>A traceability matrix contains every Must requirement and its verification method.</x:v>
      </x:c>
      <x:c r="F94" s="19" t="str">
        <x:v>Implementation artifacts; UAT; go-live documentation</x:v>
      </x:c>
      <x:c r="G94" s="19" t="str">
        <x:v>Document review + readiness test</x:v>
      </x:c>
      <x:c r="H94" s="20" t="str">
        <x:v>Not Started</x:v>
      </x:c>
      <x:c r="I94" s="20" t="str">
        <x:v>Not Tested</x:v>
      </x:c>
      <x:c r="J94" s="21" t="str"/>
      <x:c r="K94" s="21" t="str">
        <x:v>Brandon McDermott</x:v>
      </x:c>
      <x:c r="L94" s="21" t="str"/>
    </x:row>
    <x:row r="95" ht="54" customHeight="1">
      <x:c r="A95" s="18" t="str">
        <x:v>IMR-002</x:v>
      </x:c>
      <x:c r="B95" s="18" t="str">
        <x:v>Implementation &amp; Support</x:v>
      </x:c>
      <x:c r="C95" s="18" t="str">
        <x:v>Must</x:v>
      </x:c>
      <x:c r="D95" s="19" t="str">
        <x:v>The implementation shall maintain a configuration workbook.</x:v>
      </x:c>
      <x:c r="E95" s="19" t="str">
        <x:v>Statuses, queues, controlled values, service levels, and selected business rules are documented.</x:v>
      </x:c>
      <x:c r="F95" s="19" t="str">
        <x:v>Implementation artifacts; UAT; go-live documentation</x:v>
      </x:c>
      <x:c r="G95" s="19" t="str">
        <x:v>Document review + readiness test</x:v>
      </x:c>
      <x:c r="H95" s="20" t="str">
        <x:v>Not Started</x:v>
      </x:c>
      <x:c r="I95" s="20" t="str">
        <x:v>Not Tested</x:v>
      </x:c>
      <x:c r="J95" s="21" t="str"/>
      <x:c r="K95" s="21" t="str">
        <x:v>Brandon McDermott</x:v>
      </x:c>
      <x:c r="L95" s="21" t="str"/>
    </x:row>
    <x:row r="96" ht="54" customHeight="1">
      <x:c r="A96" s="18" t="str">
        <x:v>IMR-003</x:v>
      </x:c>
      <x:c r="B96" s="18" t="str">
        <x:v>Implementation &amp; Support</x:v>
      </x:c>
      <x:c r="C96" s="18" t="str">
        <x:v>Must</x:v>
      </x:c>
      <x:c r="D96" s="19" t="str">
        <x:v>Data migration shall include pre-load, load, and post-load validation.</x:v>
      </x:c>
      <x:c r="E96" s="19" t="str">
        <x:v>The migration report records results for all three stages.</x:v>
      </x:c>
      <x:c r="F96" s="19" t="str">
        <x:v>Implementation artifacts; UAT; go-live documentation</x:v>
      </x:c>
      <x:c r="G96" s="19" t="str">
        <x:v>Document review + readiness test</x:v>
      </x:c>
      <x:c r="H96" s="20" t="str">
        <x:v>Not Started</x:v>
      </x:c>
      <x:c r="I96" s="20" t="str">
        <x:v>Not Tested</x:v>
      </x:c>
      <x:c r="J96" s="21" t="str"/>
      <x:c r="K96" s="21" t="str">
        <x:v>Brandon McDermott</x:v>
      </x:c>
      <x:c r="L96" s="21" t="str"/>
    </x:row>
    <x:row r="97" ht="54" customHeight="1">
      <x:c r="A97" s="18" t="str">
        <x:v>IMR-004</x:v>
      </x:c>
      <x:c r="B97" s="18" t="str">
        <x:v>Implementation &amp; Support</x:v>
      </x:c>
      <x:c r="C97" s="18" t="str">
        <x:v>Must</x:v>
      </x:c>
      <x:c r="D97" s="19" t="str">
        <x:v>UAT shall include positive, negative, boundary, and end-to-end referral scenarios.</x:v>
      </x:c>
      <x:c r="E97" s="19" t="str">
        <x:v>The UAT plan contains all four test categories.</x:v>
      </x:c>
      <x:c r="F97" s="19" t="str">
        <x:v>Implementation artifacts; UAT; go-live documentation</x:v>
      </x:c>
      <x:c r="G97" s="19" t="str">
        <x:v>Document review + readiness test</x:v>
      </x:c>
      <x:c r="H97" s="20" t="str">
        <x:v>Not Started</x:v>
      </x:c>
      <x:c r="I97" s="20" t="str">
        <x:v>Not Tested</x:v>
      </x:c>
      <x:c r="J97" s="21" t="str"/>
      <x:c r="K97" s="21" t="str">
        <x:v>Brandon McDermott</x:v>
      </x:c>
      <x:c r="L97" s="21" t="str"/>
    </x:row>
    <x:row r="98" ht="54" customHeight="1">
      <x:c r="A98" s="18" t="str">
        <x:v>IMR-005</x:v>
      </x:c>
      <x:c r="B98" s="18" t="str">
        <x:v>Implementation &amp; Support</x:v>
      </x:c>
      <x:c r="C98" s="18" t="str">
        <x:v>Must</x:v>
      </x:c>
      <x:c r="D98" s="19" t="str">
        <x:v>Critical workflow scenarios shall pass before go-live readiness is declared.</x:v>
      </x:c>
      <x:c r="E98" s="19" t="str">
        <x:v>No open critical defects remain, or a formal non-go-live decision is documented.</x:v>
      </x:c>
      <x:c r="F98" s="19" t="str">
        <x:v>Implementation artifacts; UAT; go-live documentation</x:v>
      </x:c>
      <x:c r="G98" s="19" t="str">
        <x:v>Document review + readiness test</x:v>
      </x:c>
      <x:c r="H98" s="20" t="str">
        <x:v>Not Started</x:v>
      </x:c>
      <x:c r="I98" s="20" t="str">
        <x:v>Not Tested</x:v>
      </x:c>
      <x:c r="J98" s="21" t="str"/>
      <x:c r="K98" s="21" t="str">
        <x:v>Brandon McDermott</x:v>
      </x:c>
      <x:c r="L98" s="21" t="str"/>
    </x:row>
    <x:row r="99" ht="54" customHeight="1">
      <x:c r="A99" s="18" t="str">
        <x:v>IMR-006</x:v>
      </x:c>
      <x:c r="B99" s="18" t="str">
        <x:v>Implementation &amp; Support</x:v>
      </x:c>
      <x:c r="C99" s="18" t="str">
        <x:v>Must</x:v>
      </x:c>
      <x:c r="D99" s="19" t="str">
        <x:v>Defects shall record severity, owner, status, evidence, resolution, and retest result.</x:v>
      </x:c>
      <x:c r="E99" s="19" t="str">
        <x:v>Every logged defect contains all required fields.</x:v>
      </x:c>
      <x:c r="F99" s="19" t="str">
        <x:v>Implementation artifacts; UAT; go-live documentation</x:v>
      </x:c>
      <x:c r="G99" s="19" t="str">
        <x:v>Document review + readiness test</x:v>
      </x:c>
      <x:c r="H99" s="20" t="str">
        <x:v>Not Started</x:v>
      </x:c>
      <x:c r="I99" s="20" t="str">
        <x:v>Not Tested</x:v>
      </x:c>
      <x:c r="J99" s="21" t="str"/>
      <x:c r="K99" s="21" t="str">
        <x:v>Brandon McDermott</x:v>
      </x:c>
      <x:c r="L99" s="21" t="str"/>
    </x:row>
    <x:row r="100" ht="54" customHeight="1">
      <x:c r="A100" s="18" t="str">
        <x:v>IMR-007</x:v>
      </x:c>
      <x:c r="B100" s="18" t="str">
        <x:v>Implementation &amp; Support</x:v>
      </x:c>
      <x:c r="C100" s="18" t="str">
        <x:v>Must</x:v>
      </x:c>
      <x:c r="D100" s="19" t="str">
        <x:v>Training shall be role-based.</x:v>
      </x:c>
      <x:c r="E100" s="19" t="str">
        <x:v>Referral coordinators, managers, clinicians, and support staff have distinct learning objectives or materials.</x:v>
      </x:c>
      <x:c r="F100" s="19" t="str">
        <x:v>Implementation artifacts; UAT; go-live documentation</x:v>
      </x:c>
      <x:c r="G100" s="19" t="str">
        <x:v>Document review + readiness test</x:v>
      </x:c>
      <x:c r="H100" s="20" t="str">
        <x:v>Not Started</x:v>
      </x:c>
      <x:c r="I100" s="20" t="str">
        <x:v>Not Tested</x:v>
      </x:c>
      <x:c r="J100" s="21" t="str"/>
      <x:c r="K100" s="21" t="str">
        <x:v>Brandon McDermott</x:v>
      </x:c>
      <x:c r="L100" s="21" t="str"/>
    </x:row>
    <x:row r="101" ht="54" customHeight="1">
      <x:c r="A101" s="18" t="str">
        <x:v>IMR-008</x:v>
      </x:c>
      <x:c r="B101" s="18" t="str">
        <x:v>Implementation &amp; Support</x:v>
      </x:c>
      <x:c r="C101" s="18" t="str">
        <x:v>Must</x:v>
      </x:c>
      <x:c r="D101" s="19" t="str">
        <x:v>The go-live runbook shall include readiness checks, cutover steps, validation, rollback, support, and escalation.</x:v>
      </x:c>
      <x:c r="E101" s="19" t="str">
        <x:v>All six sections are present and assigned.</x:v>
      </x:c>
      <x:c r="F101" s="19" t="str">
        <x:v>Implementation artifacts; UAT; go-live documentation</x:v>
      </x:c>
      <x:c r="G101" s="19" t="str">
        <x:v>Document review + readiness test</x:v>
      </x:c>
      <x:c r="H101" s="20" t="str">
        <x:v>Not Started</x:v>
      </x:c>
      <x:c r="I101" s="20" t="str">
        <x:v>Not Tested</x:v>
      </x:c>
      <x:c r="J101" s="21" t="str"/>
      <x:c r="K101" s="21" t="str">
        <x:v>Brandon McDermott</x:v>
      </x:c>
      <x:c r="L101" s="21" t="str"/>
    </x:row>
    <x:row r="102" ht="54" customHeight="1">
      <x:c r="A102" s="18" t="str">
        <x:v>IMR-009</x:v>
      </x:c>
      <x:c r="B102" s="18" t="str">
        <x:v>Implementation &amp; Support</x:v>
      </x:c>
      <x:c r="C102" s="18" t="str">
        <x:v>Should</x:v>
      </x:c>
      <x:c r="D102" s="19" t="str">
        <x:v>The implementation shall define post-launch adoption and performance monitoring.</x:v>
      </x:c>
      <x:c r="E102" s="19" t="str">
        <x:v>The support plan includes queue usage, data quality, defects, KPI stability, and user feedback.</x:v>
      </x:c>
      <x:c r="F102" s="19" t="str">
        <x:v>Implementation artifacts; UAT; go-live documentation</x:v>
      </x:c>
      <x:c r="G102" s="19" t="str">
        <x:v>Document review + readiness test</x:v>
      </x:c>
      <x:c r="H102" s="20" t="str">
        <x:v>Not Started</x:v>
      </x:c>
      <x:c r="I102" s="20" t="str">
        <x:v>Not Tested</x:v>
      </x:c>
      <x:c r="J102" s="21" t="str"/>
      <x:c r="K102" s="21" t="str">
        <x:v>Brandon McDermott</x:v>
      </x:c>
      <x:c r="L102" s="21" t="str"/>
    </x:row>
    <x:row r="103" ht="54" customHeight="1">
      <x:c r="A103" s="18" t="str">
        <x:v>IMR-010</x:v>
      </x:c>
      <x:c r="B103" s="18" t="str">
        <x:v>Implementation &amp; Support</x:v>
      </x:c>
      <x:c r="C103" s="18" t="str">
        <x:v>Must</x:v>
      </x:c>
      <x:c r="D103" s="19" t="str">
        <x:v>Scope changes and key design decisions shall be documented.</x:v>
      </x:c>
      <x:c r="E103" s="19" t="str">
        <x:v>A decision log or change log records the date, decision, rationale, owner, and affected deliverables.</x:v>
      </x:c>
      <x:c r="F103" s="19" t="str">
        <x:v>Implementation artifacts; UAT; go-live documentation</x:v>
      </x:c>
      <x:c r="G103" s="19" t="str">
        <x:v>Document review + readiness test</x:v>
      </x:c>
      <x:c r="H103" s="20" t="str">
        <x:v>Not Started</x:v>
      </x:c>
      <x:c r="I103" s="20" t="str">
        <x:v>Not Tested</x:v>
      </x:c>
      <x:c r="J103" s="21" t="str"/>
      <x:c r="K103" s="21" t="str">
        <x:v>Brandon McDermott</x:v>
      </x:c>
      <x:c r="L103" s="21" t="str"/>
    </x:row>
    <x:row r="104" ht="54" customHeight="1">
      <x:c r="A104" s="18" t="str">
        <x:v>IMR-011</x:v>
      </x:c>
      <x:c r="B104" s="18" t="str">
        <x:v>Implementation &amp; Support</x:v>
      </x:c>
      <x:c r="C104" s="18" t="str">
        <x:v>Must</x:v>
      </x:c>
      <x:c r="D104" s="19" t="str">
        <x:v>The final portfolio README shall explain the problem, approach, solution, validation, findings, limitations, and how to reproduce the work.</x:v>
      </x:c>
      <x:c r="E104" s="19" t="str">
        <x:v>All sections are present and linked to supporting artifacts.</x:v>
      </x:c>
      <x:c r="F104" s="19" t="str">
        <x:v>Implementation artifacts; UAT; go-live documentation</x:v>
      </x:c>
      <x:c r="G104" s="19" t="str">
        <x:v>Document review + readiness test</x:v>
      </x:c>
      <x:c r="H104" s="20" t="str">
        <x:v>Not Started</x:v>
      </x:c>
      <x:c r="I104" s="20" t="str">
        <x:v>Not Tested</x:v>
      </x:c>
      <x:c r="J104" s="21" t="str"/>
      <x:c r="K104" s="21" t="str">
        <x:v>Brandon McDermott</x:v>
      </x:c>
      <x:c r="L104" s="21" t="str"/>
    </x:row>
    <x:row r="105" ht="54" customHeight="1">
      <x:c r="A105" s="22" t="str">
        <x:v>IMR-012</x:v>
      </x:c>
      <x:c r="B105" s="22" t="str">
        <x:v>Implementation &amp; Support</x:v>
      </x:c>
      <x:c r="C105" s="22" t="str">
        <x:v>Must</x:v>
      </x:c>
      <x:c r="D105" s="23" t="str">
        <x:v>The public case study shall not describe simulated improvements as actual client outcomes.</x:v>
      </x:c>
      <x:c r="E105" s="23" t="str">
        <x:v>QA review confirms that all modeled results are labeled as synthetic or scenario-based.</x:v>
      </x:c>
      <x:c r="F105" s="23" t="str">
        <x:v>Implementation artifacts; UAT; go-live documentation</x:v>
      </x:c>
      <x:c r="G105" s="23" t="str">
        <x:v>Document review + readiness test</x:v>
      </x:c>
      <x:c r="H105" s="24" t="str">
        <x:v>Not Started</x:v>
      </x:c>
      <x:c r="I105" s="24" t="str">
        <x:v>Not Tested</x:v>
      </x:c>
      <x:c r="J105" s="25" t="str"/>
      <x:c r="K105" s="25" t="str">
        <x:v>Brandon McDermott</x:v>
      </x:c>
      <x:c r="L105" s="25" t="str"/>
    </x:row>
  </x:sheetData>
  <x:mergeCells>
    <x:mergeCell ref="A1:L1"/>
    <x:mergeCell ref="A2:L2"/>
  </x:mergeCells>
  <x:conditionalFormatting sqref="H5:H105">
    <x:cfRule type="containsText" dxfId="0" priority="1" operator="containsText" text="Implemented"/>
    <x:cfRule type="containsText" dxfId="1" priority="2" operator="containsText" text="In Progress"/>
    <x:cfRule type="containsText" dxfId="2" priority="3" operator="containsText" text="Deferred"/>
  </x:conditionalFormatting>
  <x:conditionalFormatting sqref="I5:I105">
    <x:cfRule type="containsText" dxfId="3" priority="4" operator="containsText" text="Pass"/>
    <x:cfRule type="containsText" dxfId="4" priority="5" operator="containsText" text="Fail"/>
    <x:cfRule type="containsText" dxfId="5" priority="6" operator="containsText" text="Blocked"/>
  </x:conditionalFormatting>
  <x:dataValidations count="4">
    <x:dataValidation type="list" sqref="C5:C105">
      <x:formula1>"Must,Should,Could"</x:formula1>
    </x:dataValidation>
    <x:dataValidation type="list" sqref="H5:H105">
      <x:formula1>"Not Started,In Progress,Implemented,Deferred,Not Applicable"</x:formula1>
    </x:dataValidation>
    <x:dataValidation type="list" sqref="I5:I105">
      <x:formula1>"Not Tested,Pass,Fail,Blocked,Not Applicable"</x:formula1>
    </x:dataValidation>
    <x:dataValidation type="list" sqref="K5:K105">
      <x:formula1>"Brandon McDermott,Implementation Lead,Operations,Clinical Lead,Health IT,Data &amp; Analytics,Compliance,Training Lead"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79cffb84c448b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30" customHeight="1">
      <x:c r="A1" s="2" t="str">
        <x:v>Project 4 — RTM Status Summary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6" t="str">
        <x:v>Formula-driven overview; update statuses in the Requirements RTM tab</x:v>
      </x:c>
      <x:c r="B2" s="26"/>
      <x:c r="C2" s="26"/>
      <x:c r="D2" s="26"/>
      <x:c r="E2" s="26"/>
      <x:c r="F2" s="26"/>
      <x:c r="G2" s="26"/>
      <x:c r="H2" s="26"/>
    </x:row>
    <x:row r="4">
      <x:c r="A4" s="32" t="str">
        <x:v>Portfolio Control</x:v>
      </x:c>
      <x:c r="B4" s="33" t="str">
        <x:v>Value</x:v>
      </x:c>
    </x:row>
    <x:row r="5">
      <x:c r="A5" s="34" t="str">
        <x:v>Total requirements</x:v>
      </x:c>
      <x:c r="B5" s="35" t="n">
        <x:f>COUNTA('Requirements RTM'!$A$5:$A$105)</x:f>
        <x:v>101</x:v>
      </x:c>
    </x:row>
    <x:row r="6">
      <x:c r="A6" s="34" t="str">
        <x:v>Must requirements</x:v>
      </x:c>
      <x:c r="B6" s="35" t="n">
        <x:f>COUNTIF('Requirements RTM'!$C$5:$C$105,"Must")</x:f>
        <x:v>82</x:v>
      </x:c>
    </x:row>
    <x:row r="7">
      <x:c r="A7" s="34" t="str">
        <x:v>Implemented</x:v>
      </x:c>
      <x:c r="B7" s="35" t="n">
        <x:f>COUNTIF('Requirements RTM'!$H$5:$H$105,"Implemented")</x:f>
        <x:v>0</x:v>
      </x:c>
    </x:row>
    <x:row r="8">
      <x:c r="A8" s="36" t="str">
        <x:v>Tests passed</x:v>
      </x:c>
      <x:c r="B8" s="37" t="n">
        <x:f>COUNTIF('Requirements RTM'!$I$5:$I$105,"Pass")</x:f>
        <x:v>0</x:v>
      </x:c>
    </x:row>
    <x:row r="11">
      <x:c r="A11" s="8" t="str">
        <x:v>Requirement Type</x:v>
      </x:c>
      <x:c r="B11" s="8" t="str">
        <x:v>Total</x:v>
      </x:c>
      <x:c r="C11" s="8" t="str">
        <x:v>Implemented</x:v>
      </x:c>
      <x:c r="D11" s="8" t="str">
        <x:v>Passed</x:v>
      </x:c>
    </x:row>
    <x:row r="12">
      <x:c r="A12" s="38" t="str">
        <x:v>Business</x:v>
      </x:c>
      <x:c r="B12" s="41" t="n">
        <x:f>COUNTIF('Requirements RTM'!$B$5:$B$105,A12)</x:f>
        <x:v>8</x:v>
      </x:c>
      <x:c r="C12" s="41" t="n">
        <x:f>COUNTIFS('Requirements RTM'!$B$5:$B$105,A12,'Requirements RTM'!$H$5:$H$105,"Implemented")</x:f>
        <x:v>0</x:v>
      </x:c>
      <x:c r="D12" s="41" t="n">
        <x:f>COUNTIFS('Requirements RTM'!$B$5:$B$105,A12,'Requirements RTM'!$I$5:$I$105,"Pass")</x:f>
        <x:v>0</x:v>
      </x:c>
    </x:row>
    <x:row r="13">
      <x:c r="A13" s="39" t="str">
        <x:v>Functional</x:v>
      </x:c>
      <x:c r="B13" s="42" t="n">
        <x:f>COUNTIF('Requirements RTM'!$B$5:$B$105,A13)</x:f>
        <x:v>38</x:v>
      </x:c>
      <x:c r="C13" s="42" t="n">
        <x:f>COUNTIFS('Requirements RTM'!$B$5:$B$105,A13,'Requirements RTM'!$H$5:$H$105,"Implemented")</x:f>
        <x:v>0</x:v>
      </x:c>
      <x:c r="D13" s="42" t="n">
        <x:f>COUNTIFS('Requirements RTM'!$B$5:$B$105,A13,'Requirements RTM'!$I$5:$I$105,"Pass")</x:f>
        <x:v>0</x:v>
      </x:c>
    </x:row>
    <x:row r="14">
      <x:c r="A14" s="39" t="str">
        <x:v>Data</x:v>
      </x:c>
      <x:c r="B14" s="42" t="n">
        <x:f>COUNTIF('Requirements RTM'!$B$5:$B$105,A14)</x:f>
        <x:v>12</x:v>
      </x:c>
      <x:c r="C14" s="42" t="n">
        <x:f>COUNTIFS('Requirements RTM'!$B$5:$B$105,A14,'Requirements RTM'!$H$5:$H$105,"Implemented")</x:f>
        <x:v>0</x:v>
      </x:c>
      <x:c r="D14" s="42" t="n">
        <x:f>COUNTIFS('Requirements RTM'!$B$5:$B$105,A14,'Requirements RTM'!$I$5:$I$105,"Pass")</x:f>
        <x:v>0</x:v>
      </x:c>
    </x:row>
    <x:row r="15">
      <x:c r="A15" s="39" t="str">
        <x:v>Integration</x:v>
      </x:c>
      <x:c r="B15" s="42" t="n">
        <x:f>COUNTIF('Requirements RTM'!$B$5:$B$105,A15)</x:f>
        <x:v>8</x:v>
      </x:c>
      <x:c r="C15" s="42" t="n">
        <x:f>COUNTIFS('Requirements RTM'!$B$5:$B$105,A15,'Requirements RTM'!$H$5:$H$105,"Implemented")</x:f>
        <x:v>0</x:v>
      </x:c>
      <x:c r="D15" s="42" t="n">
        <x:f>COUNTIFS('Requirements RTM'!$B$5:$B$105,A15,'Requirements RTM'!$I$5:$I$105,"Pass")</x:f>
        <x:v>0</x:v>
      </x:c>
    </x:row>
    <x:row r="16">
      <x:c r="A16" s="39" t="str">
        <x:v>Reporting &amp; Analytics</x:v>
      </x:c>
      <x:c r="B16" s="42" t="n">
        <x:f>COUNTIF('Requirements RTM'!$B$5:$B$105,A16)</x:f>
        <x:v>9</x:v>
      </x:c>
      <x:c r="C16" s="42" t="n">
        <x:f>COUNTIFS('Requirements RTM'!$B$5:$B$105,A16,'Requirements RTM'!$H$5:$H$105,"Implemented")</x:f>
        <x:v>0</x:v>
      </x:c>
      <x:c r="D16" s="42" t="n">
        <x:f>COUNTIFS('Requirements RTM'!$B$5:$B$105,A16,'Requirements RTM'!$I$5:$I$105,"Pass")</x:f>
        <x:v>0</x:v>
      </x:c>
    </x:row>
    <x:row r="17">
      <x:c r="A17" s="39" t="str">
        <x:v>Security, Privacy &amp; Audit</x:v>
      </x:c>
      <x:c r="B17" s="42" t="n">
        <x:f>COUNTIF('Requirements RTM'!$B$5:$B$105,A17)</x:f>
        <x:v>7</x:v>
      </x:c>
      <x:c r="C17" s="42" t="n">
        <x:f>COUNTIFS('Requirements RTM'!$B$5:$B$105,A17,'Requirements RTM'!$H$5:$H$105,"Implemented")</x:f>
        <x:v>0</x:v>
      </x:c>
      <x:c r="D17" s="42" t="n">
        <x:f>COUNTIFS('Requirements RTM'!$B$5:$B$105,A17,'Requirements RTM'!$I$5:$I$105,"Pass")</x:f>
        <x:v>0</x:v>
      </x:c>
    </x:row>
    <x:row r="18">
      <x:c r="A18" s="39" t="str">
        <x:v>Nonfunctional</x:v>
      </x:c>
      <x:c r="B18" s="42" t="n">
        <x:f>COUNTIF('Requirements RTM'!$B$5:$B$105,A18)</x:f>
        <x:v>7</x:v>
      </x:c>
      <x:c r="C18" s="42" t="n">
        <x:f>COUNTIFS('Requirements RTM'!$B$5:$B$105,A18,'Requirements RTM'!$H$5:$H$105,"Implemented")</x:f>
        <x:v>0</x:v>
      </x:c>
      <x:c r="D18" s="42" t="n">
        <x:f>COUNTIFS('Requirements RTM'!$B$5:$B$105,A18,'Requirements RTM'!$I$5:$I$105,"Pass")</x:f>
        <x:v>0</x:v>
      </x:c>
    </x:row>
    <x:row r="19">
      <x:c r="A19" s="40" t="str">
        <x:v>Implementation &amp; Support</x:v>
      </x:c>
      <x:c r="B19" s="43" t="n">
        <x:f>COUNTIF('Requirements RTM'!$B$5:$B$105,A19)</x:f>
        <x:v>12</x:v>
      </x:c>
      <x:c r="C19" s="43" t="n">
        <x:f>COUNTIFS('Requirements RTM'!$B$5:$B$105,A19,'Requirements RTM'!$H$5:$H$105,"Implemented")</x:f>
        <x:v>0</x:v>
      </x:c>
      <x:c r="D19" s="43" t="n">
        <x:f>COUNTIFS('Requirements RTM'!$B$5:$B$105,A19,'Requirements RTM'!$I$5:$I$105,"Pass")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8" hidden="0" customWidth="1"/>
  </x:cols>
  <x:sheetData>
    <x:row r="1" ht="28" customHeight="1">
      <x:c r="A1" s="44" t="str">
        <x:v>Controlled Values and Workbook Instructions</x:v>
      </x:c>
      <x:c r="B1" s="44"/>
      <x:c r="C1" s="44"/>
      <x:c r="D1" s="44"/>
      <x:c r="E1" s="44"/>
      <x:c r="F1" s="44"/>
    </x:row>
    <x:row r="3">
      <x:c r="A3" s="47" t="str">
        <x:v>Field</x:v>
      </x:c>
      <x:c r="B3" s="47" t="str">
        <x:v>Controlled values / instructions</x:v>
      </x:c>
    </x:row>
    <x:row r="4" ht="38" customHeight="1">
      <x:c r="A4" s="48" t="str">
        <x:v>Implementation Status</x:v>
      </x:c>
      <x:c r="B4" s="49" t="str">
        <x:v>Not Started; In Progress; Implemented; Deferred; Not Applicable</x:v>
      </x:c>
    </x:row>
    <x:row r="5" ht="38" customHeight="1">
      <x:c r="A5" s="48" t="str">
        <x:v>Test Status</x:v>
      </x:c>
      <x:c r="B5" s="49" t="str">
        <x:v>Not Tested; Pass; Fail; Blocked; Not Applicable</x:v>
      </x:c>
    </x:row>
    <x:row r="6" ht="38" customHeight="1">
      <x:c r="A6" s="48" t="str">
        <x:v>Priority</x:v>
      </x:c>
      <x:c r="B6" s="49" t="str">
        <x:v>Must; Should; Could</x:v>
      </x:c>
    </x:row>
    <x:row r="7" ht="38" customHeight="1">
      <x:c r="A7" s="48" t="str">
        <x:v>Evidence Path / Link</x:v>
      </x:c>
      <x:c r="B7" s="49" t="str">
        <x:v>Enter the repository-relative path or a durable link to the artifact proving the requirement.</x:v>
      </x:c>
    </x:row>
    <x:row r="8" ht="38" customHeight="1">
      <x:c r="A8" s="50" t="str">
        <x:v>Notes</x:v>
      </x:c>
      <x:c r="B8" s="51" t="str">
        <x:v>Record exceptions, decisions, blockers, scope changes, or future-production limitations.</x:v>
      </x:c>
    </x:row>
  </x:sheetData>
  <x:mergeCells>
    <x:mergeCell ref="A1:F1"/>
  </x:mergeCells>
  <x:pageMargins left="0.7" right="0.7" top="0.75" bottom="0.75" header="0.3" footer="0.3"/>
</x:worksheet>
</file>